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6320" windowWidth="29040" windowHeight="15720" activeTab="1"/>
  </bookViews>
  <sheets>
    <sheet sheetId="1" name="Хяналтын самбар" state="visible" r:id="rId4"/>
    <sheet sheetId="2" name="Веб систем" state="visible" r:id="rId5"/>
    <sheet sheetId="3" name="Мобайл апп" state="visible" r:id="rId6"/>
  </sheets>
  <definedNames>
    <definedName name="_xlnm._FilterDatabase">'Мобайл апп'!$A$4:$L$86</definedName>
  </definedNames>
  <calcPr calcId="171027" fullCalcOnLoad="1"/>
</workbook>
</file>

<file path=xl/sharedStrings.xml><?xml version="1.0" encoding="utf-8"?>
<sst xmlns="http://schemas.openxmlformats.org/spreadsheetml/2006/main" count="1790" uniqueCount="562">
  <si>
    <t>ХЯНАЛТЫН САМБАР</t>
  </si>
  <si>
    <t>1. НЭГДСЭН ҮЗҮҮЛЭЛТ</t>
  </si>
  <si>
    <t>Үзүүлэлт</t>
  </si>
  <si>
    <t>Веб систем</t>
  </si>
  <si>
    <t>Мобайл апп</t>
  </si>
  <si>
    <t>Нийт</t>
  </si>
  <si>
    <t>Нийт ажил</t>
  </si>
  <si>
    <t>Дууссан</t>
  </si>
  <si>
    <t>Тестэд</t>
  </si>
  <si>
    <t>Хийгдэж байна</t>
  </si>
  <si>
    <t>Эхлээгүй</t>
  </si>
  <si>
    <t>Саатсан</t>
  </si>
  <si>
    <t>Дундаж гүйцэтгэл</t>
  </si>
  <si>
    <t>Хугацаа хэтэрсэн</t>
  </si>
  <si>
    <t>2. ХАРИУЦАХ ТАЛААР</t>
  </si>
  <si>
    <t>Тал</t>
  </si>
  <si>
    <t>ITsystem</t>
  </si>
  <si>
    <t>ЗСҮТ</t>
  </si>
  <si>
    <t>3. ҮЕ ШАТААР</t>
  </si>
  <si>
    <t>Төсөл / Үе шат</t>
  </si>
  <si>
    <t>Хугацаа</t>
  </si>
  <si>
    <t>ВЕБ СИСТЕМ</t>
  </si>
  <si>
    <t>1. Шаардлагын судалгаа, шинжилгээ</t>
  </si>
  <si>
    <t>05-14 – 05-27</t>
  </si>
  <si>
    <t>2. Архитектур, дизайн боловсруулах</t>
  </si>
  <si>
    <t>05-28 – 06-06</t>
  </si>
  <si>
    <t>3. Өгөгдлийн сангийн загвар, маягтын бүтэц</t>
  </si>
  <si>
    <t>06-07 – 07-06</t>
  </si>
  <si>
    <t>4. Цахим маягт, модуль хөгжүүлэлт</t>
  </si>
  <si>
    <t>07-07 – 09-01</t>
  </si>
  <si>
    <t>5. Тестлэлт, чанарын баталгаажуулалт</t>
  </si>
  <si>
    <t>09-01 – 09-10</t>
  </si>
  <si>
    <t>6. Хэрэглэгчийн сургалт, баримт бичиг</t>
  </si>
  <si>
    <t>08-28 – 09-03</t>
  </si>
  <si>
    <t>7. Систем ашиглалтад өгөх</t>
  </si>
  <si>
    <t>09-10 – 09-14</t>
  </si>
  <si>
    <t>8. Баталгаат хугацааны дэмжлэг</t>
  </si>
  <si>
    <t>2026-09-15 – 2027-09-14</t>
  </si>
  <si>
    <t>МОБАЙЛ АПП</t>
  </si>
  <si>
    <t>1. Шинжилгээ, төлөвлөлт</t>
  </si>
  <si>
    <t>07-03 – 07-12</t>
  </si>
  <si>
    <t>2. Архитектур, UI/UX дизайн</t>
  </si>
  <si>
    <t>07-10 – 07-24</t>
  </si>
  <si>
    <t>3. Суурь систем хөгжүүлэлт</t>
  </si>
  <si>
    <t>07-22 – 08-16</t>
  </si>
  <si>
    <t>4. Эмчийн модуль</t>
  </si>
  <si>
    <t>08-06 – 08-23</t>
  </si>
  <si>
    <t>5. Үйлчлүүлэгчийн модуль</t>
  </si>
  <si>
    <t>08-11 – 08-29</t>
  </si>
  <si>
    <t>6. Нэмэлт модулиуд</t>
  </si>
  <si>
    <t>08-11 – 09-12</t>
  </si>
  <si>
    <t>7. Админ болон тайлан</t>
  </si>
  <si>
    <t>08-26 – 09-10</t>
  </si>
  <si>
    <t>8. Туршилт, аюулгүй байдал</t>
  </si>
  <si>
    <t>09-08 – 09-23</t>
  </si>
  <si>
    <t>9. Нэвтрүүлэлт</t>
  </si>
  <si>
    <t>09-24 – 10-10</t>
  </si>
  <si>
    <t>10. Баримт бичиг, сургалт</t>
  </si>
  <si>
    <t>10-10 – 10-15</t>
  </si>
  <si>
    <t>№</t>
  </si>
  <si>
    <t>Үе шат</t>
  </si>
  <si>
    <t>Модуль / Бүлэг</t>
  </si>
  <si>
    <t>Ажлын нэр</t>
  </si>
  <si>
    <t>Дэд ажил / Тодорхойлолт</t>
  </si>
  <si>
    <t>Хариуцагч тал</t>
  </si>
  <si>
    <t>Эхлэх огноо</t>
  </si>
  <si>
    <t>Дуусах огноо</t>
  </si>
  <si>
    <t>Төлөв</t>
  </si>
  <si>
    <t>Гүйцэтгэл %</t>
  </si>
  <si>
    <t>Хүлээн авах шалгуур</t>
  </si>
  <si>
    <t>Тэмдэглэл</t>
  </si>
  <si>
    <t>Судалгаа, шинжилгээ</t>
  </si>
  <si>
    <t>Ажлын хэсэг байгуулах</t>
  </si>
  <si>
    <t>Захиалагчийн талаас эмнэлзүйн ажлын хэсэг, холбоо барих хүмүүсийг томилох</t>
  </si>
  <si>
    <t>Ажлын хэсгийн бүрэлдэхүүн, хариуцах эмч нар тушаалаар батлагдсан</t>
  </si>
  <si>
    <t>Одоогийн системийн аудит</t>
  </si>
  <si>
    <t>МнКардио системийн эх код, өгөгдлийн сан, архитектурын одоогийн байдлыг судлах</t>
  </si>
  <si>
    <t>Одоогийн систем, DB-ийн бүтцийн тайлан гарсан</t>
  </si>
  <si>
    <t>Маягтын эх сурвалж цуглуулах</t>
  </si>
  <si>
    <t>14 маягтын батлагдсан цаасан хувилбар, бөглөх журам, заавар гаргаж өгөх</t>
  </si>
  <si>
    <t>Маягт бүрийн эцсийн хувилбар хүлээлгэн өгсөн</t>
  </si>
  <si>
    <t>2026-09-09: Батлагдсан цаасан маягт хүлээгдэж байна — 12 маягтын хэвлэх хувилбарын хүлээн авалт хаагдаж байна (захидлын 2-р зүйл).</t>
  </si>
  <si>
    <t>Маягтын талбарын шинжилгээ</t>
  </si>
  <si>
    <t>Маягт бүрийн талбар, төрөл, сонголтын жагсаалт, давхардлыг шинжлэх</t>
  </si>
  <si>
    <t>Талбарын шинжилгээний хүснэгт бэлэн</t>
  </si>
  <si>
    <t>Интеграцын судалгаа</t>
  </si>
  <si>
    <t>ХУР, ЭМД, ЭМХТ, Эмийн жор, ДАН, дүрс оношилгоо (PACS), лаборатори (LIS)-ийн сервисийн судалгаа</t>
  </si>
  <si>
    <t>Сервис тус бүрийн техникийн боломж, шаардлагын тайлан</t>
  </si>
  <si>
    <t>А611 маягтын уялдаа</t>
  </si>
  <si>
    <t>ЭМХТ-ийн нэгдсэн системийн A611 маягттай уялдах шаардлагыг тодорхойлох</t>
  </si>
  <si>
    <t>A611 талбарын харгалзаа (mapping) тодорхойлогдсон</t>
  </si>
  <si>
    <t>Хэрэглэгчийн эрхийн матриц</t>
  </si>
  <si>
    <t>Эмч, сувилагч, админ, иргэн зэрэг үүрэг тус бүрийн хандах эрхийг тодорхойлох</t>
  </si>
  <si>
    <t>Эрхийн матриц батлагдсан</t>
  </si>
  <si>
    <t>2026-09-09: Захиалагчийн хариу хүлээж байна — ЗСҮТ-д хүргүүлсэн захидлын 8-р зүйл.</t>
  </si>
  <si>
    <t>Шаардлагын тодорхойлолт (SRS)</t>
  </si>
  <si>
    <t>Функционал болон функционал бус шаардлагын баримт бичиг боловсруулах</t>
  </si>
  <si>
    <t>SRS баримт бичиг бүрэн боловсруулагдсан</t>
  </si>
  <si>
    <t>SRS батлах</t>
  </si>
  <si>
    <t>Шаардлагын баримт бичгийг хянаж, санал өгч, албан ёсоор батлах</t>
  </si>
  <si>
    <t>Захиалагчийн гарын үсэгтэй батлагдсан SRS</t>
  </si>
  <si>
    <t>2026-09-09: Захиалагчийн хариу хүлээж байна — ЗСҮТ-д хүргүүлсэн захидлын 13-р зүйл.</t>
  </si>
  <si>
    <t>Архитектур, дизайн</t>
  </si>
  <si>
    <t>Системийн архитектур</t>
  </si>
  <si>
    <t>React JS / Node JS / Express JS / MSSQL-д суурилсан архитектурын дизайн боловсруулах</t>
  </si>
  <si>
    <t>Архитектурын баримт бичиг бэлэн</t>
  </si>
  <si>
    <t>Аюулгүй байдлын загвар</t>
  </si>
  <si>
    <t>Эрхийн удирдлага, нууцлал, аудит лог, шифрлэлтийн шийдлийг төлөвлөх</t>
  </si>
  <si>
    <t>Аюулгүй байдлын төлөвлөгөө батлагдсан</t>
  </si>
  <si>
    <t>Интеграцын архитектур</t>
  </si>
  <si>
    <t>Гадаад сервисүүдтэй холбогдох API давхарга, алдаа боловсруулалтын загвар</t>
  </si>
  <si>
    <t>Интеграцын архитектурын схем бэлэн</t>
  </si>
  <si>
    <t>UI/UX дизайн</t>
  </si>
  <si>
    <t>Маягтын ерөнхий загвар, цэсний бүтэц, өнгө, товчлуурын стандарт боловсруулах</t>
  </si>
  <si>
    <t>UI kit болон гол дэлгэцүүдийн дизайн бэлэн</t>
  </si>
  <si>
    <t>Өгөгдлийн сан, маягтын бүтэц</t>
  </si>
  <si>
    <t>DB ерөнхий схем</t>
  </si>
  <si>
    <t>MSSQL өгөгдлийн сангийн ерөнхий схемийг шинэ модулиудад тохируулан өргөтгөх</t>
  </si>
  <si>
    <t>ER диаграм, хүснэгтийн жагсаалт бэлэн</t>
  </si>
  <si>
    <t>Лавлах сан бүрдүүлэх</t>
  </si>
  <si>
    <t>ICD, эм, эмнэлгийн хэрэгсэл, ангилал, кодчиллын лавлах хүснэгтүүд</t>
  </si>
  <si>
    <t>Лавлах хүснэгтүүд ачаалагдсан</t>
  </si>
  <si>
    <t>Талбарын толь (Data dictionary)</t>
  </si>
  <si>
    <t>14 маягтын нийт талбарын нэр, төрөл, урт, сонголт, заавал бөглөх эсэхийг нэгтгэх</t>
  </si>
  <si>
    <t>Data dictionary баримт бүрэн</t>
  </si>
  <si>
    <t>Талбарын толь батлах</t>
  </si>
  <si>
    <t>Маягтын бүтэц, талбарын толийг эмнэлзүйн баг хянаж батлах</t>
  </si>
  <si>
    <t>Захиалагч батласан талбарын толь</t>
  </si>
  <si>
    <t>2026-09-09: 11 маягтын 1,687 талбарын эмнэлзүйн баталгаажуулалт хүлээгдэж байна (захидлын 3-р зүйл).</t>
  </si>
  <si>
    <t>Динамик маягтын модуль</t>
  </si>
  <si>
    <t>Маягтыг тохиргоогоор үүсгэх, засах боломжтой суурь модулийн бүтэц</t>
  </si>
  <si>
    <t>Динамик маягтын модуль ажиллаж байна</t>
  </si>
  <si>
    <t>Хөгжүүлэлтийн орчин</t>
  </si>
  <si>
    <t>Ubuntu 22.04 LTS, MSSQL 2017 Express+ дээр хөгжүүлэлт, туршилтын орчин бэлтгэх</t>
  </si>
  <si>
    <t>Dev болон Test орчин ажиллагаанд орсон</t>
  </si>
  <si>
    <t>Серверийн нөөц гаргах</t>
  </si>
  <si>
    <t>Туршилт болон үйлдвэрлэлийн серверийн техник хангамж, хандалтын эрх гаргаж өгөх</t>
  </si>
  <si>
    <t>Сервер, хандалтын эрх хүлээлгэн өгсөн</t>
  </si>
  <si>
    <t>2026-09-09: Захиалагчийн хариу хүлээж байна — ЗСҮТ-д хүргүүлсэн захидлын 14-р зүйл.</t>
  </si>
  <si>
    <t>1. Мэс заслын маягтууд</t>
  </si>
  <si>
    <t>1.1 Мэс заслын өмнөх шалгуур хуудас (зүрхний нээлттэй мэс засал)</t>
  </si>
  <si>
    <t>Маягтын талбар, кодчилол, бөглөх дүрмийг эцэслэн батлах</t>
  </si>
  <si>
    <t>Талбар бүрийн нэр, төрөл, сонголтын жагсаалт, заавал бөглөх эсэх батлагдсан</t>
  </si>
  <si>
    <t>2026-09-09: Талбарын толь, кодчилол, бөглөх дүрмийн баталгаажуулалт хүлээгдэж байна (захидлын 2, 3-р зүйл).</t>
  </si>
  <si>
    <t>Өгөгдлийн сангийн хүснэгт, холбоос үүсгэх</t>
  </si>
  <si>
    <t>Хүснэгт, индекс, гадаад түлхүүр үүссэн, тест дата орсон</t>
  </si>
  <si>
    <t>Маягтын дэлгэц (UI), CRUD, валидац хөгжүүлэх</t>
  </si>
  <si>
    <t>Маягтыг нэмэх, засах, устгах, хадгалах бүрэн ажиллана; заавал талбарын шалгалт хийгдэнэ</t>
  </si>
  <si>
    <t>Жагсаалт, хайлт, шүүлт, Excel экспорт</t>
  </si>
  <si>
    <t>Цэсэнд жагсаалтаар харагдана; олон талбараар хайх, шүүх, .xlsx-ээр татах боломжтой</t>
  </si>
  <si>
    <t>Хэвлэх маягт (A4 / PDF) боловсруулах</t>
  </si>
  <si>
    <t>Батлагдсан цаасан маягттай ижил бүтэцтэй хэвлэгдэнэ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</si>
  <si>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</si>
  <si>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Захиалагчийн туршилт, баталгаажуулалт (UAT)</t>
  </si>
  <si>
    <t>Эмч нар бодит өгөгдлөөр туршиж, санал/алдааны жагсаалт өгсөн</t>
  </si>
  <si>
    <t>1.2 Мэс заслын үеийн шалгуур хуудас (аюулгүй байдлын хяналт)</t>
  </si>
  <si>
    <t>2026-09-09: Маягт 1.2-ын агуулгыг тендерийн зурган хавсралтаас бүрэн буулгаж 75 талбараар ачаалав (scripts/seed_form_1_2.sql). A4 хэвлэлт TenderFormPrint.jsx-ээр ажиллана. Толь бичгийн эмнэлзүйн баталгаажуулалт үлдсэн.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</si>
  <si>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1.3 Хэвлийн гол судасны цүлхэн, гол судас-ташааны артерийн мэс заслын өмнөх шалгах хуудас</t>
  </si>
  <si>
    <t>1.4 Эмнэлгээс гарах үеийн шалгуур хуудас</t>
  </si>
  <si>
    <t>Гэрээ байгуулах үед тусгагдана — хамрах хүрээ тодорхой болсны дараа хугацаа шинэчлэгдэнэ | 2026-09-09: 1.4 маягтын хамрах хүрээний шийдвэр хүлээгдэж байна (захидлын 4-р зүйл).</t>
  </si>
  <si>
    <t>Маягтын хөгжүүлэлт (гэрээнд тусгагдсаны дараа)</t>
  </si>
  <si>
    <t>Гэрээнд тусгагдсан хүрээнд UI, CRUD, жагсаалт, хэвлэх бүрэн ажиллана</t>
  </si>
  <si>
    <t>1.5 Зүрхний төрөлхийн гажгийн маягт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</si>
  <si>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 Талбарын нэршил тендерийн англи эхээр байгаа тул монгол орчуулга шаардлагатай — энэ нь эмнэлзүйн нэр томьёоны ажил.</t>
  </si>
  <si>
    <t>1.6 Титэм судасны мэс заслын маягт</t>
  </si>
  <si>
    <t>1.7 Гол судасны мэс заслын маягт</t>
  </si>
  <si>
    <t>1.8 Хавхлагын мэс заслын маягт</t>
  </si>
  <si>
    <t>1.9 Зүрхний нээлттэй бусад мэс заслын маягт</t>
  </si>
  <si>
    <t>1.10 Судасны мэс заслын маягт</t>
  </si>
  <si>
    <t>Гэрээ байгуулах үед тусгагдана — хамрах хүрээ тодорхой болсны дараа хугацаа шинэчлэгдэнэ | 2026-09-09: 1.10 маягтын хамрах хүрээний шийдвэр хүлээгдэж байна (захидлын 4-р зүйл).</t>
  </si>
  <si>
    <t>2. Хэм судлалын маягтууд</t>
  </si>
  <si>
    <t>2.1 Электрофизиологийн шинжилгээ / Аблаци эмчилгээний протокол</t>
  </si>
  <si>
    <t>2.2 Тосгуурын жирвэгнээ бүртгэл судалгаа (олон хэсэгт үзлэгийн маягт)</t>
  </si>
  <si>
    <t>Хамгийн том маягт — үзлэг, асуумж, бодит үзлэг, багаж/лаб шинжилгээ, эмийн хэрэглээ, интервеншн, хүндрэл гэсэн 12+ хэсэгтэй | 2026-09-09: Талбарын толь, кодчилол, бөглөх дүрмийн баталгаажуулалт хүлээгдэж байна (захидлын 2, 3-р зүйл).</t>
  </si>
  <si>
    <t>Хамгийн том маягт — үзлэг, асуумж, бодит үзлэг, багаж/лаб шинжилгээ, эмийн хэрэглээ, интервеншн, хүндрэл гэсэн 12+ хэсэгтэй</t>
  </si>
  <si>
    <t>Хамгийн том маягт — үзлэг, асуумж, бодит үзлэг, багаж/лаб шинжилгээ, эмийн хэрэглээ, интервеншн, хүндрэл гэсэн 12+ хэсэгтэй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</si>
  <si>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3. Зүрх судасны ангио</t>
  </si>
  <si>
    <t>3.1 Титэм судасны оношилгоо эмчилгээний маягт</t>
  </si>
  <si>
    <t>2026-09-10: Жагсаалтын багана засварлав: 3.1 маягт IsSearchable талбаргүй байсан тул сүлжээнд зөвхөн үндсэн багана харагдаж байв. AnginaStatus, CharacterOfExamination, ResultConclusion, DecisionForCAG-г тэмдэглэв (scripts/set_form_searchable_fields.sql). Тус скриптийн хамгаалалтын алдааг мөн зассан.</t>
  </si>
  <si>
    <t>4. Эмчийн үзлэг</t>
  </si>
  <si>
    <t>4.1 Зүрхний эмчийн үзлэгийн маягтыг шинэчлэх</t>
  </si>
  <si>
    <t>2026-09-09: /admin/ExamRegisterAM1B цэсээр жагсаалт, огнооны хайлт, .xlsx экспорт ажиллаж байна (CreateAllVisits.jsx).</t>
  </si>
  <si>
    <t>2026-09-10: А/611 тушаалын АМ-1Б маягтын бүтцээр хэвлэлт бүрэн болов — хүснэгтийн толгойг тендерийн эх зурган хавсралтаас (image5.png) сэргээж, 22 баганын дугаарлалтыг А, Б, 1-22 болгож, шинэ 5 талбарыг (14, 16, 20, 21, 22-р багана) холбов. Өмнө нь 2013 оны 450 тоот тушаалын хуучин бүтэц байсан тул эдгээр талбар хэвлэгдэх байргүй байв. Үлдсэн 2 зүйл ЗСҮТ-ийн шийдвэр: 12-р багана «Гэрийн эргэлтээр»-т харгалзах код алга; «Цочмог сул саа» А/611-д багана байхгүй тул хэвлэгдэхээ болив. | 2026-09-10: АМ-1Б хэвлэлтийн хөндлөн (landscape) чиглэл засварлав — page.pdf()-д landscape дамжуулагдаагүй тул 22 баганын бүртгэл босоо А4-т хэвлэгдэж, баруун талын баганууд тасарч байсан. Одоо helper/PrintHelper.SendPdf-ээр landscape + scale 0.88-аар хэвлэгдэж, 1200px хүснэгт хуудсанд бүтэн багтаж байна. Хуудасны дугаар ба эх сурвалжийн тэмдэглэгээ (байгууллага, мэдээллийн сан, огноо) нэмэгдэв. PrintAmbulatoriHTML нь дискэнд файл бичихээ болиод HTML-ээ шууд буцаана (кирилл үсэг гажуудуулж байсан).</t>
  </si>
  <si>
    <t>Нэгдсэн цэс, хайлт</t>
  </si>
  <si>
    <t>Маягтын нэгдсэн цэс</t>
  </si>
  <si>
    <t>1-4 бүлгийн маягтуудыг цэсэнд жагсаалт хэлбэрээр гаргах</t>
  </si>
  <si>
    <t>Бүх маягт нэг цэснээс нээгдэнэ</t>
  </si>
  <si>
    <t>Нэгдсэн хайлт</t>
  </si>
  <si>
    <t>Үйлчлүүлэгч, огноо, онош, эмч, маягтын төрлөөр хайх</t>
  </si>
  <si>
    <t>Хайлтын үр дүн 3 секундээс бага хугацаанд гарна</t>
  </si>
  <si>
    <t>Нэгдсэн экспорт</t>
  </si>
  <si>
    <t>Жагсаалт, тайланг .xlsx / .txt форматаар татах, хэвлэх</t>
  </si>
  <si>
    <t>Экспортын файл бүрэн, эх сурвалжийн тэмдэглэгээтэй</t>
  </si>
  <si>
    <t>2026-09-10: Эх сурвалжийн тэмдэглэгээ шалгагдаж, ажиллаж байгаа нь батлагдав — SQL_DB нь config/Config.env-д тодорхойлогдсон бөгөөд server.js эхэлж уншдаг тул «Мэдээллийн сан» мөр хоосон гардаггүй. Урьд нь хоосон гэж бүртгэсэн нь эндүүрэл байв.</t>
  </si>
  <si>
    <t>Иргэний хэсэг</t>
  </si>
  <si>
    <t>Иргэний хэсгийн UI/UX сайжруулах</t>
  </si>
  <si>
    <t>Одоогийн иргэний хэсгийн дэлгэц, урсгалыг шинэчлэх</t>
  </si>
  <si>
    <t>Шинэ дизайн нэвтэрсэн, гар утсанд тохирсон</t>
  </si>
  <si>
    <t>2026-09-09: Иргэний хэсэг шинэчлэгдэв — PatientHome нүүр хуудас, 8 цэс, /api/patient үйлчилгээ, гар утсанд тохирсон байрлал (useResponsive.js, BaseGridCards.jsx).</t>
  </si>
  <si>
    <t>Эрсдэлийн аргачлал батлах</t>
  </si>
  <si>
    <t>Зүрх судасны өвчний эрсдэл тооцох аргачлал, томьёо, ангиллыг эмнэлзүйн баг батлах</t>
  </si>
  <si>
    <t>Аргачлал, эрсдэлийн ангиллын хүснэгт батлагдсан</t>
  </si>
  <si>
    <t>2026-09-09: Захиалагчийн хариу хүлээж байна — ЗСҮТ-д хүргүүлсэн захидлын 5-р зүйл.</t>
  </si>
  <si>
    <t>Иргэний эрсдэл тооцоолуур</t>
  </si>
  <si>
    <t>Иргэн өөрөө мэдээллээ оруулж эрсдэлээ бодох модуль</t>
  </si>
  <si>
    <t>Иргэн асуумж бөглөж эрсдэлийн оноо, ангиллаа шууд харна</t>
  </si>
  <si>
    <t>Эрсдэлийн үр дүн, зөвлөмж</t>
  </si>
  <si>
    <t>Тооцоолсон эрсдэлд тохирсон зөвлөмж, дараагийн алхмыг харуулах</t>
  </si>
  <si>
    <t>Эрсдэлийн түвшин тус бүрд зөвлөмж гарна</t>
  </si>
  <si>
    <t>Интеграц</t>
  </si>
  <si>
    <t>ХУР систем</t>
  </si>
  <si>
    <t>Гэрээ, хандах эрх, сервисийн тохиролцоог холбогдох байгууллагаас авах</t>
  </si>
  <si>
    <t>Сервис ашиглах эрх, техникийн баримт бичиг гарт орсон</t>
  </si>
  <si>
    <t>2026-09-09: Захиалагчийн хариу хүлээж байна — ЗСҮТ-д хүргүүлсэн захидлын 6-р зүйл.</t>
  </si>
  <si>
    <t>Иргэний бүртгэл, лавлагааны мэдээлэл татах — хөгжүүлэлт, тохиргоо</t>
  </si>
  <si>
    <t>Сервис тогтвортой ажиллаж, алдаа боловсруулалт хийгдсэн</t>
  </si>
  <si>
    <t>Интеграцын туршилт, баталгаажуулалт</t>
  </si>
  <si>
    <t>Бодит өгөгдлөөр туршиж, лог, алдааны боловсруулалт шалгагдсан</t>
  </si>
  <si>
    <t>Эмийн жорын систем</t>
  </si>
  <si>
    <t>Цахим жор бичих, лавлах мэдээлэл солилцох — хөгжүүлэлт, тохиргоо</t>
  </si>
  <si>
    <t>Тоон гарын үсэг (ДАН / ЦГҮ)</t>
  </si>
  <si>
    <t>2026-09-09: Захиалагчийн хариу хүлээж байна — ЗСҮТ-д хүргүүлсэн захидлын 7-р зүйл.</t>
  </si>
  <si>
    <t>Маягт, дүгнэлтийг цахим гарын үсгээр баталгаажуулах — хөгжүүлэлт, тохиргоо</t>
  </si>
  <si>
    <t>Дүрс оношилгоо (PACS/DICOM)</t>
  </si>
  <si>
    <t>Зураг, дүрс оношилгооны өгөгдөл солилцох — хөгжүүлэлт, тохиргоо</t>
  </si>
  <si>
    <t>Лабораторийн систем (LIS/HL7)</t>
  </si>
  <si>
    <t>Лабораторийн шинжилгээний хариу татах — хөгжүүлэлт, тохиргоо</t>
  </si>
  <si>
    <t>Эрүүл мэндийн даатгал (ЭМД)</t>
  </si>
  <si>
    <t>Даатгалын мэдээлэл, кодчилол солилцох — хөгжүүлэлт, тохиргоо</t>
  </si>
  <si>
    <t>ЭМХТ нэгдсэн систем (A611)</t>
  </si>
  <si>
    <t>A611 маягттай уялдах, мэдээлэл илгээх — хөгжүүлэлт, тохиргоо</t>
  </si>
  <si>
    <t>Мобайл аппликэйшн</t>
  </si>
  <si>
    <t>Гар утасны аппликэйшнд зориулсан API нээх — хөгжүүлэлт, тохиргоо</t>
  </si>
  <si>
    <t>Тест, чанарын баталгаажуулалт</t>
  </si>
  <si>
    <t>Нэгж тест (Unit test)</t>
  </si>
  <si>
    <t>Модуль тус бүрийн нэгж тест бичих, гүйцэтгэх</t>
  </si>
  <si>
    <t>Гол модулиудын тест давсан, тайлан гарсан</t>
  </si>
  <si>
    <t>Интеграцын тест</t>
  </si>
  <si>
    <t>Гадаад сервисүүд болон модуль хоорондын урсгалын тест</t>
  </si>
  <si>
    <t>Бүх интеграц алдаагүй ажиллав</t>
  </si>
  <si>
    <t>Ачаалал, гүйцэтгэлийн тест</t>
  </si>
  <si>
    <t>Их хэмжээний өгөгдөл дээр хурд, тогтвортой байдлыг шалгах</t>
  </si>
  <si>
    <t>Хариу өгөх хугацаа тохирсон түвшинд</t>
  </si>
  <si>
    <t>Кибер аюулгүй байдлын эрсдэлийн үнэлгээ</t>
  </si>
  <si>
    <t>Эрх бүхий байгууллагаар эрсдэлийн үнэлгээ хийлгэх</t>
  </si>
  <si>
    <t>Эрсдэлийн үнэлгээний дүгнэлт гарсан</t>
  </si>
  <si>
    <t>Мэдээллийн аюулгүй байдлын аудит</t>
  </si>
  <si>
    <t>Эрх бүхий байгууллагаар МАБ-ын аудит хийлгэх</t>
  </si>
  <si>
    <t>Аудитын тайлан, зөвлөмж гарсан</t>
  </si>
  <si>
    <t>Аудитын зөвлөмжийг хэрэгжүүлэх</t>
  </si>
  <si>
    <t>Илэрсэн эмзэг байдал, зөвлөмжийг арилгах</t>
  </si>
  <si>
    <t>Өндөр эрсдэлтэй асуудал үлдээгүй</t>
  </si>
  <si>
    <t>Хэрэглэгчийн туршилт (UAT)</t>
  </si>
  <si>
    <t>Эмч, мэргэжилтнүүд бодит нөхцөлд системийг турших</t>
  </si>
  <si>
    <t>UAT-ийн санал, алдааны жагсаалт бүртгэгдсэн</t>
  </si>
  <si>
    <t>Алдаа засварлах</t>
  </si>
  <si>
    <t>UAT болон тестээр илэрсэн алдааг засах</t>
  </si>
  <si>
    <t>Чухал зэрэглэлийн алдаа бүгд засагдсан</t>
  </si>
  <si>
    <t>Тестийн тайлан</t>
  </si>
  <si>
    <t>Тестийн үр дүнгийн нэгдсэн тайлан боловсруулж хүлээлгэн өгөх</t>
  </si>
  <si>
    <t>Тестийн тайлан хүлээлгэн өгсөн</t>
  </si>
  <si>
    <t>Сургалт, баримт бичиг</t>
  </si>
  <si>
    <t>Хэрэглэгчийн гарын авлага</t>
  </si>
  <si>
    <t>Эмч, сувилагч, иргэний хэсгийн гарын авлага бэлтгэх</t>
  </si>
  <si>
    <t>Гарын авлага .pdf хэлбэрээр бэлэн</t>
  </si>
  <si>
    <t>Админ, суурилуулалтын гарын авлага</t>
  </si>
  <si>
    <t>Тохиргоо, суурилуулалт, нөөцлөлтийн заавар</t>
  </si>
  <si>
    <t>Техникийн гарын авлага бэлэн</t>
  </si>
  <si>
    <t>Сервисийн баримт бичиг (API doc)</t>
  </si>
  <si>
    <t>Сервисийн оролт, гаралтыг тодорхойлсон баримт бичиг</t>
  </si>
  <si>
    <t>API-ийн бүрэн баримт бичиг хүлээлгэн өгсөн</t>
  </si>
  <si>
    <t>Сургалтын хөтөлбөр, материал</t>
  </si>
  <si>
    <t>Сургалтын хөтөлбөр, слайд, дасгал ажил бэлтгэх</t>
  </si>
  <si>
    <t>Сургалтын материал батлагдсан</t>
  </si>
  <si>
    <t>Сургалт зохион байгуулах</t>
  </si>
  <si>
    <t>Оролцогчдын жагсаалт, танхим, хуваарь гаргах</t>
  </si>
  <si>
    <t>Сургалтын хуваарь, оролцогчдын жагсаалт гарсан</t>
  </si>
  <si>
    <t>Сургалт явуулах</t>
  </si>
  <si>
    <t>Хэрэглэгч болон админд зориулсан сургалт явуулах</t>
  </si>
  <si>
    <t>Сургалтын тайлан, ирцийн бүртгэл гарсан</t>
  </si>
  <si>
    <t>Ашиглалтад өгөх</t>
  </si>
  <si>
    <t>Үйлдвэрлэлийн орчинд байршуулах</t>
  </si>
  <si>
    <t>Ubuntu сервер дээр систем, өгөгдлийн санг байршуулж тохируулах</t>
  </si>
  <si>
    <t>Систем үйлдвэрлэлийн орчинд ажиллаж байна</t>
  </si>
  <si>
    <t>Өгөгдөл шилжүүлэлт</t>
  </si>
  <si>
    <t>Хуучин системийн өгөгдлийг шинэ бүтцэд шилжүүлэх</t>
  </si>
  <si>
    <t>Өгөгдөл алдагдалгүй шилжсэн, тоо баримт тулгагдсан</t>
  </si>
  <si>
    <t>Шилжүүлсэн өгөгдлийг баталгаажуулах</t>
  </si>
  <si>
    <t>Тоо баримтыг эх сурвалжтай тулган шалгах</t>
  </si>
  <si>
    <t>Захиалагч өгөгдлийн үнэн зөвийг баталгаажуулсан</t>
  </si>
  <si>
    <t>Нөөцлөлт, хяналтын тохиргоо</t>
  </si>
  <si>
    <t>Backup, лог, серверийн хяналтын тохиргоо хийх</t>
  </si>
  <si>
    <t>Автомат нөөцлөлт ажиллаж байна</t>
  </si>
  <si>
    <t>Хүлээлцэх акт</t>
  </si>
  <si>
    <t>Систем, эх код, баримт бичгийг хүлээлгэн өгөх акт үйлдэх</t>
  </si>
  <si>
    <t>Хоёр талын гарын үсэгтэй хүлээлцэх акт</t>
  </si>
  <si>
    <t>Баталгаат хугацаа</t>
  </si>
  <si>
    <t>Үнэ төлбөргүй засвар үйлчилгээ</t>
  </si>
  <si>
    <t>1 жилийн хугацаанд алдаа засах, дэмжлэг үзүүлэх</t>
  </si>
  <si>
    <t>Мэдэгдсэн алдааг тохиролцсон хугацаанд засна</t>
  </si>
  <si>
    <t>Серверийн хэвийн ажиллагаа</t>
  </si>
  <si>
    <t>Мэдээллийн аюулгүй байдал, нөөцлөлт, хяналтыг хангах</t>
  </si>
  <si>
    <t>Сар бүр ажиллагааны тайлан</t>
  </si>
  <si>
    <t>Санал, алдааны мэдээлэл</t>
  </si>
  <si>
    <t>Илэрсэн алдаа, сайжруулах саналыг бүртгэж хүргүүлэх</t>
  </si>
  <si>
    <t>Алдааны бүртгэл тогтмол хөтлөгдөнө</t>
  </si>
  <si>
    <t>Шинжилгээ, төлөвлөлт</t>
  </si>
  <si>
    <t>Шаардлагын шинжилгээ, SRS</t>
  </si>
  <si>
    <t>Мобайл аппын функционал шаардлагыг задлан SRS боловсруулах</t>
  </si>
  <si>
    <t>SRS баримт бэлэн</t>
  </si>
  <si>
    <t>2026-09-09: Төлөв 'Дууссан' атлаа гүйцэтгэл 0% бичигдсэн байсныг 100% болгож залруулав.</t>
  </si>
  <si>
    <t>Backend API-ийн судалгаа</t>
  </si>
  <si>
    <t>МнКардио веб системийн API, өгөгдлийн сангийн боломжийг судлах</t>
  </si>
  <si>
    <t>Ашиглах API-уудын жагсаалт, дутуу API тодорхойлогдсон</t>
  </si>
  <si>
    <t>Өгөгдлийн сангийн судалгаа</t>
  </si>
  <si>
    <t>Мобайлд шаардагдах өгөгдөл, шинээр нэмэх хүснэгтийг тодорхойлох</t>
  </si>
  <si>
    <t>Өгөгдлийн шаардлагын тайлан</t>
  </si>
  <si>
    <t>Хэрэглээний шаардлага тодруулах</t>
  </si>
  <si>
    <t>Эмч болон үйлчлүүлэгчийн талын бодит хэрэглээ, хүлээлтийг тодруулах</t>
  </si>
  <si>
    <t>Хэрэглэгчийн ярилцлагын дүн, шаардлагын жагсаалт</t>
  </si>
  <si>
    <t>Хөгжүүлэлтийн орчин бэлтгэх</t>
  </si>
  <si>
    <t>Android / iOS хөгжүүлэлт, туршилтын орчин, төхөөрөмж бэлтгэх</t>
  </si>
  <si>
    <t>Dev, Test орчин бэлэн</t>
  </si>
  <si>
    <t>Шаардлагын баримтыг хянаж батлах</t>
  </si>
  <si>
    <t>Батлагдсан SRS</t>
  </si>
  <si>
    <t>Архитектур, UI/UX</t>
  </si>
  <si>
    <t>Мобайл архитектур</t>
  </si>
  <si>
    <t>Android болон iOS дээр ажиллах архитектур, технологийн сонголт</t>
  </si>
  <si>
    <t>Архитектурын баримт бэлэн</t>
  </si>
  <si>
    <t>Өгөгдлийн сангийн загвар</t>
  </si>
  <si>
    <t>Мобайлд шаардагдах хүснэгт, локал кэшийн загвар</t>
  </si>
  <si>
    <t>DB загвар батлагдсан</t>
  </si>
  <si>
    <t>Аюулгүй байдлын төлөвлөлт</t>
  </si>
  <si>
    <t>Токен, шифрлэлт, төхөөрөмжийн аюулгүй байдлын шийдэл</t>
  </si>
  <si>
    <t>Аюулгүй байдлын төлөвлөгөө бэлэн</t>
  </si>
  <si>
    <t>UI/UX дизайн, прототип</t>
  </si>
  <si>
    <t>Эмч болон үйлчлүүлэгчийн бүх дэлгэцийн дизайн, прототип</t>
  </si>
  <si>
    <t>Интерактив прототип бэлэн (монгол хэл дээр)</t>
  </si>
  <si>
    <t>Прототипыг хянаж батлах</t>
  </si>
  <si>
    <t>Дизайныг эмч, үйлчлүүлэгчийн төлөөлөлд танилцуулж батлах</t>
  </si>
  <si>
    <t>Батлагдсан дизайн, саналын хуудас</t>
  </si>
  <si>
    <t>2026-09-09: Захиалагчийн хариу хүлээж байна — ЗСҮТ-д хүргүүлсэн захидлын 12-р зүйл.</t>
  </si>
  <si>
    <t>Суурь систем</t>
  </si>
  <si>
    <t>Нэвтрэлт, эрхийн удирдлага</t>
  </si>
  <si>
    <t>Эмч / үйлчлүүлэгч гэсэн 2 төрлийн нэвтрэлт, хэрэглэгч тус бүрээр үйлдэл тохируулах</t>
  </si>
  <si>
    <t>Хэрэглэгч бүрийн эрхийг админаас тохируулж болно</t>
  </si>
  <si>
    <t>Мэргэжлийн зөвшөөрлийн код</t>
  </si>
  <si>
    <t>Эмчийн нэвтрэх нэрийг мэргэжлийн үйл ажиллагаа эрхлэх зөвшөөрлийн кодтой уялдуулах</t>
  </si>
  <si>
    <t>Зөвшөөрлийн кодгүй эмч нэвтрэхгүй</t>
  </si>
  <si>
    <t>Хурууны хээгээр нэвтрэх</t>
  </si>
  <si>
    <t>Biometric нэвтрэлт (Android/iOS)</t>
  </si>
  <si>
    <t>Төхөөрөмжийн biometric-ээр нэвтэрнэ</t>
  </si>
  <si>
    <t>2026-09-10: Төлөвийг «Хийгдэж байна»-аас «Эхлээгүй» болгов: төслийн аль ч санд мобайл апп-ын код (Kotlin / Swift / Dart / React Native) огт байхгүй тул biometric нэвтрэлт эхлээгүй байна.</t>
  </si>
  <si>
    <t>Нууц үг сэргээх</t>
  </si>
  <si>
    <t>Админы дэмжлэггүйгээр нууц үгээ сэргээх урсгал</t>
  </si>
  <si>
    <t>Хэрэглэгч өөрөө нууц үгээ сэргээнэ</t>
  </si>
  <si>
    <t>Буруу нэвтрэлтийн мэдэгдэл</t>
  </si>
  <si>
    <t>Нууц үгээ 3 удаа буруу оруулсан үед мэдэгдэл илгээх</t>
  </si>
  <si>
    <t>3 дахь оролдлогод мэдэгдэл хүрнэ</t>
  </si>
  <si>
    <t>ХУР интеграц</t>
  </si>
  <si>
    <t>Үйлчлүүлэгчийн бүртгэл үүсгэх, шинэчлэхэд ХУР-аас мэдээлэл татах</t>
  </si>
  <si>
    <t>Регистрээр иргэний мэдээлэл татагдана</t>
  </si>
  <si>
    <t>ЭМД болон эмийн сангийн кодчилол</t>
  </si>
  <si>
    <t>Эрүүл мэндийн даатгал, эм эмнэлгийн хэрэгслийн нэгдсэн сангаас кодчилол татах</t>
  </si>
  <si>
    <t>Лавлах мэдээлэл автоматаар шинэчлэгдэнэ</t>
  </si>
  <si>
    <t>Стандарт кодчилол нэвтрүүлэх</t>
  </si>
  <si>
    <t>ICD, FHIR/HL7, SNOMED CT, LOINC стандартыг дагаж мөрдөх</t>
  </si>
  <si>
    <t>Мэдээлэл солилцоо стандартын дагуу</t>
  </si>
  <si>
    <t>Эрүүл мэндийн салбарын мэдээлэл солилцоо</t>
  </si>
  <si>
    <t>Салбарын мэдээлэл солилцооны системтэй стандартын дагуу холбогдох</t>
  </si>
  <si>
    <t>Мэдээлэл нийлүүлэх, хүлээн авах ажиллагаа шалгагдсан</t>
  </si>
  <si>
    <t>Нууцлалын эрхийн тохиргоо</t>
  </si>
  <si>
    <t>Албаны нууцад хамаарах мэдээлэлд хандах эрхийг тусгайлан тохируулах</t>
  </si>
  <si>
    <t>Нууц ангиллын мэдээлэл эрхгүй хэрэглэгчид харагдахгүй</t>
  </si>
  <si>
    <t>Нууцлалын журам, эрхийн матриц</t>
  </si>
  <si>
    <t>Албаны нууцын ангилал, эрхийн матрицыг батлах</t>
  </si>
  <si>
    <t>Батлагдсан эрхийн матриц</t>
  </si>
  <si>
    <t>Мэдээлэл ашиглах зөвшөөрөл</t>
  </si>
  <si>
    <t>Мэдээллийн эзэн / асран хамгаалагчаас зөвшөөрөл авах урсгал</t>
  </si>
  <si>
    <t>Зөвшөөрөл бүртгэгдэж, түүх хадгалагдана</t>
  </si>
  <si>
    <t>Хандалтын мэдэгдэл</t>
  </si>
  <si>
    <t>Үйлчлүүлэгчийн мэдээлэлд хандсан үед мэдэгдэл хүргэх</t>
  </si>
  <si>
    <t>Хандалт бүрт мэдэгдэл очно</t>
  </si>
  <si>
    <t>2026-09-09: Мэдэгдлийн хамрах хүрээг захиалагч сонгоно — хандалт бүрд / өдөрт нэг удаа / зөвхөн гадны хандалт (захидлын 15-р зүйл).</t>
  </si>
  <si>
    <t>Хайлтын систем</t>
  </si>
  <si>
    <t>Хугацааны интервал болон бүх төрлийн талбарын утгаар хайх</t>
  </si>
  <si>
    <t>Үйлчлүүлэгч, онош, эмч, огноогоор хайна</t>
  </si>
  <si>
    <t>Цахим гарын үсэг</t>
  </si>
  <si>
    <t>Цахим гарын үсгийг дэмжих</t>
  </si>
  <si>
    <t>Баримтыг цахим гарын үсгээр баталгаажуулна</t>
  </si>
  <si>
    <t>Нөөцлөлт, цагийн эталон</t>
  </si>
  <si>
    <t>Хууль журамд заасан хугацаагаар backup хийх, улсын цагийн эталон ашиглах</t>
  </si>
  <si>
    <t>Автомат backup, цагийн эх сурвалж тохируулагдсан</t>
  </si>
  <si>
    <t>Эмчийн модуль</t>
  </si>
  <si>
    <t>Миний үзлэгүүд</t>
  </si>
  <si>
    <t>Эмчийн хийсэн үзлэгийн жагсаалт, дэлгэрэнгүй</t>
  </si>
  <si>
    <t>Үзлэгийн жагсаалт, хайлт ажиллана</t>
  </si>
  <si>
    <t>Миний хяналт</t>
  </si>
  <si>
    <t>Хяналтад авсан үйлчлүүлэгчдийн жагсаалт, хяналтын түүх</t>
  </si>
  <si>
    <t>Хяналтын мэдээлэл бүрэн харагдана</t>
  </si>
  <si>
    <t>Миний зөвлөгөө</t>
  </si>
  <si>
    <t>Өгсөн зөвлөгөөний жагсаалт, шинээр зөвлөгөө өгөх</t>
  </si>
  <si>
    <t>Зөвлөгөө үүсгэх, харах боломжтой</t>
  </si>
  <si>
    <t>Миний тайлан</t>
  </si>
  <si>
    <t>Эмчийн үйл ажиллагааны тайлан, статистик</t>
  </si>
  <si>
    <t>Тайлан гарч, экспорт хийгдэнэ</t>
  </si>
  <si>
    <t>Үйлчлүүлэгчийн модуль харах</t>
  </si>
  <si>
    <t>Эмч нь эрсдэл, цахим үзлэг, сэргээн засахын мэдээллийг харах</t>
  </si>
  <si>
    <t>Эмч үйлчлүүлэгчийн модулийг унших эрхтэй харна</t>
  </si>
  <si>
    <t>Эмчийн модулийн туршилт</t>
  </si>
  <si>
    <t>Эмч нараар турших, санал авах</t>
  </si>
  <si>
    <t>Туршилтын санал, алдааны жагсаалт</t>
  </si>
  <si>
    <t>Үйлчлүүлэгчийн модуль</t>
  </si>
  <si>
    <t>2.1 Миний бүртгэл</t>
  </si>
  <si>
    <t>Хувийн мэдээлэл, бүртгэл, ХУР-аас татсан өгөгдөл</t>
  </si>
  <si>
    <t>Бүртгэл үүсгэх, засах ажиллана</t>
  </si>
  <si>
    <t>2.2 Миний тэмдэглэл</t>
  </si>
  <si>
    <t>Өдөр тутмын эрүүл мэндийн бүртгэл (даралт, судас, жин, эм г.м.)</t>
  </si>
  <si>
    <t>Өдөр тутмын бүртгэл орж, график хэлбэрээр харагдана</t>
  </si>
  <si>
    <t>2.3 Эмчээс асуух асуулт</t>
  </si>
  <si>
    <t>Үйлчлүүлэгч эмчид асуулт илгээх</t>
  </si>
  <si>
    <t>Асуулт илгээгдэж, эмчид хүрнэ</t>
  </si>
  <si>
    <t>2.4 Эмчийн зөвлөгөө</t>
  </si>
  <si>
    <t>Эмчээс ирсэн зөвлөгөөг харах</t>
  </si>
  <si>
    <t>Зөвлөгөө мэдэгдэлтэйгээр хүрнэ</t>
  </si>
  <si>
    <t>ЗСӨ эрсдэлийн үнэлгээний асуумж, оноо, ангиллыг батлах</t>
  </si>
  <si>
    <t>Аргачлал батлагдсан</t>
  </si>
  <si>
    <t>2.5 Эрсдэлийн үнэлгээ (ЗСӨ)</t>
  </si>
  <si>
    <t>Үйлчлүүлэгч өөрөө эрсдэлээ үнэлэх модуль</t>
  </si>
  <si>
    <t>Асуумж бөглөж эрсдэлийн оноо, зөвлөмж гарна</t>
  </si>
  <si>
    <t>2.6 Цахим үзлэг</t>
  </si>
  <si>
    <t>Алсын зайн үзлэгийн хүсэлт, цаг захиалга, үзлэг</t>
  </si>
  <si>
    <t>Цахим үзлэгийн бүрэн урсгал ажиллана</t>
  </si>
  <si>
    <t>2.7 Сэргээн засах, дасгал хөдөлгөөн</t>
  </si>
  <si>
    <t>Дасгалын хөтөлбөр, гүйцэтгэлийн бүртгэл</t>
  </si>
  <si>
    <t>Дасгал үзэх, гүйцэтгэлээ тэмдэглэх боломжтой</t>
  </si>
  <si>
    <t>Телемедицин</t>
  </si>
  <si>
    <t>Үзлэгийн тэмдэглэл</t>
  </si>
  <si>
    <t>Телемедицины үзлэгийн тэмдэглэл хөтлөх</t>
  </si>
  <si>
    <t>Тэмдэглэл хадгалагдаж, түүхээр харагдана</t>
  </si>
  <si>
    <t>Шинжилгээ, оношлогоо</t>
  </si>
  <si>
    <t>Шинжилгээ оношлогооны мэдээлэл оруулах, харах</t>
  </si>
  <si>
    <t>Шинжилгээний өгөгдөл бүртгэгдэнэ</t>
  </si>
  <si>
    <t>Файл хавсаргах</t>
  </si>
  <si>
    <t>Зураг, баримт бичиг хавсаргах</t>
  </si>
  <si>
    <t>Файл хавсаргаж, татаж авна</t>
  </si>
  <si>
    <t>Телемедицины төрөл</t>
  </si>
  <si>
    <t>Телемедицины төрлийг сонголтоор оруулах</t>
  </si>
  <si>
    <t>Төрлийн лавлах админаас тохируулагдана</t>
  </si>
  <si>
    <t>Зөвлөгөө, сэтгэгдэл</t>
  </si>
  <si>
    <t>Зөвлөгөө болон сэтгэгдлийн хэсэг</t>
  </si>
  <si>
    <t>Зөвлөгөө, сэтгэгдэл бичигдэнэ</t>
  </si>
  <si>
    <t>Чат, мэдэгдэл</t>
  </si>
  <si>
    <t>Чат хэсэг</t>
  </si>
  <si>
    <t>Текст, зураг, дуу бичлэг, баримт бичиг хавсаргах боломжтой чат</t>
  </si>
  <si>
    <t>Эмч, үйлчлүүлэгч хооронд бодит цагийн харилцаа</t>
  </si>
  <si>
    <t>Мэдэгдэл (Notification)</t>
  </si>
  <si>
    <t>Эм уух, дасгал хийх, хяналтын үзлэгийн цагийн мэдэгдэл</t>
  </si>
  <si>
    <t>Хэрэглэгч өөрөө цаг, төрлөө тохируулна</t>
  </si>
  <si>
    <t>Автомат шинэчлэлт</t>
  </si>
  <si>
    <t>Аппликэйшн шинэчлэлтээ автоматаар татах</t>
  </si>
  <si>
    <t>Шинэ хувилбар мэдэгдэж, татагдана</t>
  </si>
  <si>
    <t>Сэргээн засах</t>
  </si>
  <si>
    <t>Эрсдэл, биеийн хүчний үнэлгээ</t>
  </si>
  <si>
    <t>Эрсдэлийн үнэлгээ, ачаалалд өгөх биеийн хүчний үнэлгээ</t>
  </si>
  <si>
    <t>Үнэлгээний үр дүн хадгалагдана</t>
  </si>
  <si>
    <t>Амин үзүүлэлт</t>
  </si>
  <si>
    <t>Амин үзүүлэлтийн бүртгэл, хяналт</t>
  </si>
  <si>
    <t>Үзүүлэлт бүртгэгдэж график гарна</t>
  </si>
  <si>
    <t>Зөвлөгөө, анхааруулга</t>
  </si>
  <si>
    <t>Сэргээн засахын зөвлөгөө болон анхааруулга харуулах</t>
  </si>
  <si>
    <t>Зөвлөгөө, анхааруулга харагдана</t>
  </si>
  <si>
    <t>39 дасгалын видео бичлэг</t>
  </si>
  <si>
    <t>Богино хэмжээний 39 дасгалын заавар видеог бичих</t>
  </si>
  <si>
    <t>39 дасгалын видео бичигдсэн</t>
  </si>
  <si>
    <t>Тус эмнэлгийн сэргээн засах эмч нар оролцон тоглоно | 2026-09-09: Сэргээн засах эмч нар томилогдоогүй тул бичлэг эхлээгүй (захидлын 9-р зүйл).</t>
  </si>
  <si>
    <t>Эмч нарын оролцоо</t>
  </si>
  <si>
    <t>Сэргээн засах эмч нарыг видео бичлэгт оролцуулах, мэргэжлийн зөвлөгөө өгөх</t>
  </si>
  <si>
    <t>Эмч нар бичлэгт оролцож, агуулгыг баталгаажуулсан</t>
  </si>
  <si>
    <t>2026-09-09: Захиалагчийн хариу хүлээж байна — ЗСҮТ-д хүргүүлсэн захидлын 9-р зүйл.</t>
  </si>
  <si>
    <t>Анимейшн боловсруулах</t>
  </si>
  <si>
    <t>39 дасгалын видеог анимейшн хэлбэрт оруулах</t>
  </si>
  <si>
    <t>39 анимейшн бэлэн, чанарын шаардлага хангасан</t>
  </si>
  <si>
    <t>Анимейшн хийх зардал тендерийн үнэд багтсан | 2026-09-09: Видео бичлэг хийгдээгүй тул анимейшн эхлэх боломжгүй (захидлын 9-р зүйл).</t>
  </si>
  <si>
    <t>Дасгалыг апп-д байршуулах</t>
  </si>
  <si>
    <t>Дасгалын видеог ангилж, апп дотор байршуулах</t>
  </si>
  <si>
    <t>Дасгалууд апп дотроос үзэгдэнэ</t>
  </si>
  <si>
    <t>2026-09-09: Видео байршуулах, хүргэх шийдэл тодорхойгүй (захидлын 10-р зүйл).</t>
  </si>
  <si>
    <t>Админ, тайлан</t>
  </si>
  <si>
    <t>Админ веб интерфейс</t>
  </si>
  <si>
    <t>Хөгжүүлэгчийн оролцоогүйгээр мэдээлэл шинэчлэх, засварлах админ хэсэг</t>
  </si>
  <si>
    <t>Админ өөрөө контент, лавлах засварлана</t>
  </si>
  <si>
    <t>Бүтцийн тохиргоо</t>
  </si>
  <si>
    <t>Мэдээллийн төрөл, бүлэг, байгууллага, тайлангийн тохиргоог удирдах</t>
  </si>
  <si>
    <t>Тохиргоо админаас удирдагдана</t>
  </si>
  <si>
    <t>Тайлангийн маягт батлах</t>
  </si>
  <si>
    <t>Батлагдсан маягтын жагсаалт, бүтцийг захиалагчаас гаргаж өгөх</t>
  </si>
  <si>
    <t>Тайлангийн маягт батлагдсан</t>
  </si>
  <si>
    <t>Тайлан гаргах</t>
  </si>
  <si>
    <t>Батлагдсан маягтын дагуу тайлан, мэдээг гаргах</t>
  </si>
  <si>
    <t>Тайлан зөв тоо баримттай гарна</t>
  </si>
  <si>
    <t>Экспорт, хэвлэх</t>
  </si>
  <si>
    <t>Тайланг XLS, TXT зэрэг форматаар татах, хэвлэх</t>
  </si>
  <si>
    <t>Экспортын файл бүрэн</t>
  </si>
  <si>
    <t>Эх сурвалжийн тэмдэглэгээ</t>
  </si>
  <si>
    <t>Мэдээлэл ямар байгууллагын аль сангаас, хэзээ татагдсаныг тэмдэглэх</t>
  </si>
  <si>
    <t>Тайлан бүрт эх сурвалж, огноо тэмдэглэгдэнэ</t>
  </si>
  <si>
    <t>Өртөг, зардлын тооцоолол</t>
  </si>
  <si>
    <t>Тусламж үйлчилгээний төрлөөр өртөг, зардлыг тооцоолох</t>
  </si>
  <si>
    <t>Үйлчлүүлэгчийн зардал тооцоологдоно</t>
  </si>
  <si>
    <t>Нөөцлөлт (Backup)</t>
  </si>
  <si>
    <t>Мэдээллийг журамд заасан хугацаагаар нөөцлөх</t>
  </si>
  <si>
    <t>Туршилт, аюулгүй байдал</t>
  </si>
  <si>
    <t>Нэгж болон интеграцын тест</t>
  </si>
  <si>
    <t>Модуль, API-ийн тест гүйцэтгэх</t>
  </si>
  <si>
    <t>Тестийн тайлан гарсан</t>
  </si>
  <si>
    <t>Төхөөрөмжийн тест</t>
  </si>
  <si>
    <t>Android болон iOS-ийн өөр өөр хувилбар, дэлгэцийн хэмжээнд турших</t>
  </si>
  <si>
    <t>Дэмжигдэх хувилбар дээр алдаагүй ажиллана</t>
  </si>
  <si>
    <t>UAT туршилт</t>
  </si>
  <si>
    <t>Эмч болон үйлчлүүлэгчийн төлөөллөөр турших</t>
  </si>
  <si>
    <t>UAT-ийн санал, алдааны жагсаалт</t>
  </si>
  <si>
    <t>Дүгнэлт гарсан</t>
  </si>
  <si>
    <t>Эрх бүхий байгууллагаар аудит хийлгэх</t>
  </si>
  <si>
    <t>Аудитын тайлан гарсан</t>
  </si>
  <si>
    <t>Алдаа засвар</t>
  </si>
  <si>
    <t>Тест, аудитаар илэрсэн алдаа, эмзэг байдлыг арилгах</t>
  </si>
  <si>
    <t>Чухал алдаа үлдээгүй</t>
  </si>
  <si>
    <t>Нэвтрүүлэлт</t>
  </si>
  <si>
    <t>Хөгжүүлэгчийн бүртгэл</t>
  </si>
  <si>
    <t>App Store, Google Play-ийн байгууллагын бүртгэл, төлбөр, эрх</t>
  </si>
  <si>
    <t>Хөгжүүлэгчийн эрх нээгдсэн</t>
  </si>
  <si>
    <t>App Store байршуулалт</t>
  </si>
  <si>
    <t>iOS хувилбарыг App Store-д байршуулах</t>
  </si>
  <si>
    <t>App Store-оос татагдана</t>
  </si>
  <si>
    <t>Google Play байршуулалт</t>
  </si>
  <si>
    <t>Android хувилбарыг Play Store-д байршуулах</t>
  </si>
  <si>
    <t>Play Store-оос татагдана</t>
  </si>
  <si>
    <t>Үйлдвэрлэлийн орчинд нэвтрүүлэх</t>
  </si>
  <si>
    <t>Backend, админ хэсгийг үйлдвэрлэлийн орчинд нэвтрүүлэх</t>
  </si>
  <si>
    <t>Зохиогчийн эрхийн баталгаа</t>
  </si>
  <si>
    <t>Программ хангамж, бүрэлдэхүүн хэсгүүд зохиогчийн эрхийн зөрчилгүй болохыг баталгаажуулах</t>
  </si>
  <si>
    <t>Лицензийн жагсаалт, баталгаа хүлээлгэн өгсөн</t>
  </si>
  <si>
    <t>Баримт бичиг, сургалт</t>
  </si>
  <si>
    <t>Эмч болон үйлчлүүлэгчид зориулсан гарын авлага</t>
  </si>
  <si>
    <t>Гарын авлага хүлээлгэн өгсөн</t>
  </si>
  <si>
    <t>Техникийн баримт бичиг</t>
  </si>
  <si>
    <t>Архитектур, API, суурилуулалт, тохиргооны баримт бичиг</t>
  </si>
  <si>
    <t>Техникийн баримт бүрэн</t>
  </si>
  <si>
    <t>Үйлчилгээний нөхцөл</t>
  </si>
  <si>
    <t>Аппликэйшны үйлчилгээний нөхцөл, нууцлалын бодлого боловсруулах</t>
  </si>
  <si>
    <t>Үйлчилгээний нөхцөл нийтлэгдсэн</t>
  </si>
  <si>
    <t>Үйлчилгээний нөхцөл батлах</t>
  </si>
  <si>
    <t>Үйлчилгээний нөхцөл, нууцлалын бодлогыг хянаж батлах</t>
  </si>
  <si>
    <t>Батлагдсан баримт</t>
  </si>
  <si>
    <t>Оролцогчид, хуваарь, танхимыг бэлтгэх</t>
  </si>
  <si>
    <t>Сургалтын хуваарь гарсан</t>
  </si>
  <si>
    <t>Эмч, ажилтан, админд сургалт явуулах</t>
  </si>
  <si>
    <t>Сургалтын тайлан, ирц бүртгэгдсэн</t>
  </si>
  <si>
    <t>Систем хүлээлгэн өгөх</t>
  </si>
  <si>
    <t>Хүлээлцэх акт үйлдэж, ашиглалтад хүлээн авах</t>
  </si>
  <si>
    <t>Хоёр талын гарын үсэгтэй 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</si>
</sst>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1A1A1A"/>
      <sz val="18"/>
      <name val="Arial"/>
    </font>
    <font>
      <color rgb="FF6B6B6B"/>
      <sz val="10"/>
      <name val="Arial"/>
    </font>
    <font>
      <b/>
      <color theme="1"/>
      <sz val="10"/>
      <name val="Arial"/>
    </font>
    <font>
      <color theme="1"/>
      <sz val="10"/>
      <name val="Arial"/>
    </font>
    <font>
      <b/>
      <color rgb="FF1A1A1A"/>
      <sz val="12"/>
      <name val="Arial"/>
    </font>
    <font>
      <b/>
      <color rgb="FFFFFFFF"/>
      <sz val="10"/>
      <name val="Arial"/>
    </font>
    <font>
      <b/>
      <color rgb="FF1A1A1A"/>
      <sz val="10"/>
      <name val="Arial"/>
    </font>
    <font>
      <color rgb="FF1A1A1A"/>
      <sz val="10"/>
      <name val="Arial"/>
    </font>
    <font>
      <color theme="1"/>
      <sz val="11"/>
      <name val="Calibri"/>
    </font>
    <font>
      <b/>
      <color rgb="FF1A1A1A"/>
      <sz val="16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6B6B6B"/>
        <bgColor rgb="FF6B6B6B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/>
    <xf numFmtId="0" fontId="9" fillId="3" borderId="1" xfId="0" applyFont="1" applyFill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/>
    <xf numFmtId="0" fontId="8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0">
    <dxf>
      <font>
        <b/>
        <color rgb="FFC8102E"/>
        <sz val="10"/>
        <name val="Arial"/>
      </font>
      <fill>
        <patternFill patternType="none"/>
      </fill>
      <border>
        <left/>
        <right/>
        <top/>
        <bottom/>
        <diagonal/>
      </border>
    </dxf>
    <dxf>
      <font>
        <b/>
        <color rgb="FF1E5C2E"/>
        <sz val="10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  <diagonal/>
      </border>
    </dxf>
    <dxf>
      <font>
        <b/>
        <color rgb="FF7A5B00"/>
        <sz val="1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  <diagonal/>
      </border>
    </dxf>
    <dxf>
      <font>
        <b/>
        <color rgb="FF1F3D6B"/>
        <sz val="10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none"/>
      </fill>
      <border>
        <left/>
        <right/>
        <top/>
        <bottom/>
        <diagonal/>
      </border>
    </dxf>
    <dxf>
      <font>
        <b/>
        <color rgb="FF1E5C2E"/>
        <sz val="10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  <diagonal/>
      </border>
    </dxf>
    <dxf>
      <font>
        <b/>
        <color rgb="FF7A5B00"/>
        <sz val="1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  <diagonal/>
      </border>
    </dxf>
    <dxf>
      <font>
        <b/>
        <color rgb="FF1F3D6B"/>
        <sz val="10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000"/>
  <sheetViews>
    <sheetView workbookViewId="0" showGridLines="0" zoomScale="100" zoomScaleNormal="100"/>
  </sheetViews>
  <sheetFormatPr defaultRowHeight="14.4" outlineLevelRow="0" outlineLevelCol="0" x14ac:dyDescent="0.3" defaultColWidth="14.44140625" customHeight="1"/>
  <cols>
    <col min="1" max="1" width="3" customWidth="1"/>
    <col min="2" max="2" width="44" customWidth="1"/>
    <col min="3" max="3" width="14" customWidth="1"/>
    <col min="4" max="5" width="16" customWidth="1"/>
    <col min="6" max="6" width="14" customWidth="1"/>
    <col min="7" max="7" width="18" customWidth="1"/>
    <col min="8" max="26" width="8.6640625" customWidth="1"/>
  </cols>
  <sheetData>
    <row r="2" ht="22.8" customHeight="1" spans="2:2" x14ac:dyDescent="0.25">
      <c r="B2" s="1" t="s">
        <v>0</v>
      </c>
    </row>
    <row r="3" spans="2:2" x14ac:dyDescent="0.25">
      <c r="B3" s="2"/>
    </row>
    <row r="4" spans="2:3" x14ac:dyDescent="0.25">
      <c r="B4" s="3"/>
      <c r="C4" s="4"/>
    </row>
    <row r="6" ht="15.6" customHeight="1" spans="2:2" x14ac:dyDescent="0.25">
      <c r="B6" s="5" t="s">
        <v>1</v>
      </c>
    </row>
    <row r="7" ht="27.75" customHeight="1" spans="2:5" x14ac:dyDescent="0.25">
      <c r="B7" s="6" t="s">
        <v>2</v>
      </c>
      <c r="C7" s="6" t="s">
        <v>3</v>
      </c>
      <c r="D7" s="6" t="s">
        <v>4</v>
      </c>
      <c r="E7" s="6" t="s">
        <v>5</v>
      </c>
    </row>
    <row r="8" spans="2:5" x14ac:dyDescent="0.25">
      <c r="B8" s="7" t="s">
        <v>6</v>
      </c>
      <c r="C8" s="8">
        <f>COUNT('Веб систем'!$A$5:$A$157)</f>
        <v>151</v>
      </c>
      <c r="D8" s="8">
        <f>COUNT('Мобайл апп'!$A$5:$A$86)</f>
        <v>82</v>
      </c>
      <c r="E8" s="9">
        <f t="shared" ref="E8:E13" si="0">C8+D8</f>
        <v>233</v>
      </c>
    </row>
    <row r="9" spans="2:5" x14ac:dyDescent="0.25">
      <c r="B9" s="7" t="s">
        <v>7</v>
      </c>
      <c r="C9" s="8">
        <f>COUNTIF('Веб систем'!$I$5:$I$157,"Дууссан")</f>
        <v>62</v>
      </c>
      <c r="D9" s="8">
        <f>COUNTIF('Мобайл апп'!$I$5:$I$86,"Дууссан")</f>
        <v>11</v>
      </c>
      <c r="E9" s="9">
        <f t="shared" si="0"/>
        <v>73</v>
      </c>
    </row>
    <row r="10" spans="2:5" x14ac:dyDescent="0.25">
      <c r="B10" s="7" t="s">
        <v>8</v>
      </c>
      <c r="C10" s="8">
        <f>COUNTIF('Веб систем'!$I$5:$I$157,"Тестэд")</f>
        <v>0</v>
      </c>
      <c r="D10" s="8">
        <f>COUNTIF('Мобайл апп'!$I$5:$I$86,"Тестэд")</f>
        <v>0</v>
      </c>
      <c r="E10" s="9">
        <f t="shared" si="0"/>
        <v>0</v>
      </c>
    </row>
    <row r="11" spans="2:5" x14ac:dyDescent="0.25">
      <c r="B11" s="7" t="s">
        <v>9</v>
      </c>
      <c r="C11" s="8">
        <f>COUNTIF('Веб систем'!$I$5:$I$157,"Хийгдэж байна")</f>
        <v>10</v>
      </c>
      <c r="D11" s="8">
        <f>COUNTIF('Мобайл апп'!$I$5:$I$86,"Хийгдэж байна")</f>
        <v>2</v>
      </c>
      <c r="E11" s="9">
        <f t="shared" si="0"/>
        <v>12</v>
      </c>
    </row>
    <row r="12" spans="2:5" x14ac:dyDescent="0.25">
      <c r="B12" s="7" t="s">
        <v>10</v>
      </c>
      <c r="C12" s="8">
        <f>COUNTIF('Веб систем'!$I$5:$I$157,"Эхлээгүй")</f>
        <v>58</v>
      </c>
      <c r="D12" s="8">
        <f>COUNTIF('Мобайл апп'!$I$5:$I$86,"Эхлээгүй")</f>
        <v>58</v>
      </c>
      <c r="E12" s="9">
        <f t="shared" si="0"/>
        <v>116</v>
      </c>
    </row>
    <row r="13" spans="2:5" x14ac:dyDescent="0.25">
      <c r="B13" s="7" t="s">
        <v>11</v>
      </c>
      <c r="C13" s="8">
        <f>COUNTIF('Веб систем'!$I$5:$I$157,"Саатсан")</f>
        <v>21</v>
      </c>
      <c r="D13" s="8">
        <f>COUNTIF('Мобайл апп'!$I$5:$I$86,"Саатсан")</f>
        <v>11</v>
      </c>
      <c r="E13" s="9">
        <f t="shared" si="0"/>
        <v>32</v>
      </c>
    </row>
    <row r="14" spans="2:5" x14ac:dyDescent="0.25">
      <c r="B14" s="7" t="s">
        <v>12</v>
      </c>
      <c r="C14" s="10">
        <f>IFERROR(AVERAGE('Веб систем'!$J$5:$J$157),0)</f>
        <v>0.4105960264900662</v>
      </c>
      <c r="D14" s="10">
        <f>IFERROR(AVERAGE('Мобайл апп'!$J$5:$J$86),0)</f>
        <v>0.13414634146341464</v>
      </c>
      <c r="E14" s="11">
        <f>IFERROR((SUM('Веб систем'!$J$5:$J$157)+SUM('Мобайл апп'!$J$5:$J$86))/(COUNT('Веб систем'!$J$5:$J$157)+COUNT('Мобайл апп'!$J$5:$J$86)),0)</f>
        <v>0.3133047210300429</v>
      </c>
    </row>
    <row r="15" spans="2:5" x14ac:dyDescent="0.25">
      <c r="B15" s="7" t="s">
        <v>13</v>
      </c>
      <c r="C15" s="8">
        <f>SUMPRODUCT(('Веб систем'!$H$5:$H$157&lt;&gt;"")*('Веб систем'!$H$5:$H$157&lt;TODAY())*('Веб систем'!$I$5:$I$157&lt;&gt;"Дууссан")*('Веб систем'!$I$5:$I$157&lt;&gt;"Хамаарахгүй"))</f>
        <v>76</v>
      </c>
      <c r="D15" s="8">
        <f>SUMPRODUCT(('Мобайл апп'!$H$5:$H$86&lt;&gt;"")*('Мобайл апп'!$H$5:$H$86&lt;TODAY())*('Мобайл апп'!$I$5:$I$86&lt;&gt;"Дууссан")*('Мобайл апп'!$I$5:$I$86&lt;&gt;"Хамаарахгүй"))</f>
        <v>49</v>
      </c>
      <c r="E15" s="9">
        <f>C15+D15</f>
        <v>125</v>
      </c>
    </row>
    <row r="17" ht="15.6" customHeight="1" spans="2:2" x14ac:dyDescent="0.25">
      <c r="B17" s="5" t="s">
        <v>14</v>
      </c>
    </row>
    <row r="18" ht="27.75" customHeight="1" spans="2:7" x14ac:dyDescent="0.25">
      <c r="B18" s="6" t="s">
        <v>15</v>
      </c>
      <c r="C18" s="6" t="s">
        <v>6</v>
      </c>
      <c r="D18" s="6" t="s">
        <v>7</v>
      </c>
      <c r="E18" s="6" t="s">
        <v>9</v>
      </c>
      <c r="F18" s="6" t="s">
        <v>10</v>
      </c>
      <c r="G18" s="6" t="s">
        <v>12</v>
      </c>
    </row>
    <row r="19" spans="2:7" x14ac:dyDescent="0.25">
      <c r="B19" s="7" t="s">
        <v>16</v>
      </c>
      <c r="C19" s="8">
        <f>COUNTIF('Веб систем'!$F$5:$F$157,"ITsystem")+COUNTIF('Мобайл апп'!$F$5:$F$86,"ITsystem")</f>
        <v>171</v>
      </c>
      <c r="D19" s="8">
        <f>COUNTIFS('Веб систем'!$F$5:$F$157,"ITsystem",'Веб систем'!$I$5:$I$157,"Дууссан")+COUNTIFS('Мобайл апп'!$F$5:$F$86,"ITsystem",'Мобайл апп'!$I$5:$I$86,"Дууссан")</f>
        <v>66</v>
      </c>
      <c r="E19" s="8">
        <f>COUNTIFS('Веб систем'!$F$5:$F$157,"ITsystem",'Веб систем'!$I$5:$I$157,"Хийгдэж байна")+COUNTIFS('Мобайл апп'!$F$5:$F$86,"ITsystem",'Мобайл апп'!$I$5:$I$86,"Хийгдэж байна")</f>
        <v>12</v>
      </c>
      <c r="F19" s="8">
        <f>COUNTIFS('Веб систем'!$F$5:$F$157,"ITsystem",'Веб систем'!$I$5:$I$157,"Эхлээгүй")+COUNTIFS('Мобайл апп'!$F$5:$F$86,"ITsystem",'Мобайл апп'!$I$5:$I$86,"Эхлээгүй")</f>
        <v>83</v>
      </c>
      <c r="G19" s="11">
        <f>IFERROR((SUMIF('Веб систем'!$F$5:$F$157,"ITsystem",'Веб систем'!$J$5:$J$157)+SUMIF('Мобайл апп'!$F$5:$F$86,"ITsystem",'Мобайл апп'!$J$5:$J$86))/(COUNTIF('Веб систем'!$F$5:$F$157,"ITsystem")+COUNTIF('Мобайл апп'!$F$5:$F$86,"ITsystem")),0)</f>
        <v>0.4152046783625731</v>
      </c>
    </row>
    <row r="20" spans="2:7" x14ac:dyDescent="0.25">
      <c r="B20" s="7" t="s">
        <v>17</v>
      </c>
      <c r="C20" s="8">
        <f>COUNTIF('Веб систем'!$F$5:$F$157,"ЗСҮТ")+COUNTIF('Мобайл апп'!$F$5:$F$86,"ЗСҮТ")</f>
        <v>62</v>
      </c>
      <c r="D20" s="8">
        <f>COUNTIFS('Веб систем'!$F$5:$F$157,"ЗСҮТ",'Веб систем'!$I$5:$I$157,"Дууссан")+COUNTIFS('Мобайл апп'!$F$5:$F$86,"ЗСҮТ",'Мобайл апп'!$I$5:$I$86,"Дууссан")</f>
        <v>7</v>
      </c>
      <c r="E20" s="8">
        <f>COUNTIFS('Веб систем'!$F$5:$F$157,"ЗСҮТ",'Веб систем'!$I$5:$I$157,"Хийгдэж байна")+COUNTIFS('Мобайл апп'!$F$5:$F$86,"ЗСҮТ",'Мобайл апп'!$I$5:$I$86,"Хийгдэж байна")</f>
        <v>0</v>
      </c>
      <c r="F20" s="8">
        <f>COUNTIFS('Веб систем'!$F$5:$F$157,"ЗСҮТ",'Веб систем'!$I$5:$I$157,"Эхлээгүй")+COUNTIFS('Мобайл апп'!$F$5:$F$86,"ЗСҮТ",'Мобайл апп'!$I$5:$I$86,"Эхлээгүй")</f>
        <v>33</v>
      </c>
      <c r="G20" s="11">
        <f>IFERROR((SUMIF('Веб систем'!$F$5:$F$157,"ЗСҮТ",'Веб систем'!$J$5:$J$157)+SUMIF('Мобайл апп'!$F$5:$F$86,"ЗСҮТ",'Мобайл апп'!$J$5:$J$86))/(COUNTIF('Веб систем'!$F$5:$F$157,"ЗСҮТ")+COUNTIF('Мобайл апп'!$F$5:$F$86,"ЗСҮТ")),0)</f>
        <v>0.03225806451612903</v>
      </c>
    </row>
    <row r="21" ht="15.75" customHeight="1" x14ac:dyDescent="0.25"/>
    <row r="22" ht="15.75" customHeight="1" spans="2:2" x14ac:dyDescent="0.25">
      <c r="B22" s="5" t="s">
        <v>18</v>
      </c>
    </row>
    <row r="23" ht="27.75" customHeight="1" spans="2:6" x14ac:dyDescent="0.25">
      <c r="B23" s="6" t="s">
        <v>19</v>
      </c>
      <c r="C23" s="6" t="s">
        <v>6</v>
      </c>
      <c r="D23" s="6" t="s">
        <v>7</v>
      </c>
      <c r="E23" s="6" t="s">
        <v>12</v>
      </c>
      <c r="F23" s="6" t="s">
        <v>20</v>
      </c>
    </row>
    <row r="24" ht="15.75" customHeight="1" spans="2:6" x14ac:dyDescent="0.25">
      <c r="B24" s="12" t="s">
        <v>21</v>
      </c>
      <c r="C24" s="13"/>
      <c r="D24" s="13"/>
      <c r="E24" s="13"/>
      <c r="F24" s="13"/>
    </row>
    <row r="25" ht="15.75" customHeight="1" spans="2:6" x14ac:dyDescent="0.25">
      <c r="B25" s="14" t="s">
        <v>22</v>
      </c>
      <c r="C25" s="8">
        <f>COUNTIF('Веб систем'!$B$5:$B$157,"1. Шаардлагын судалгаа, шинжилгээ")</f>
        <v>9</v>
      </c>
      <c r="D25" s="8">
        <f>COUNTIFS('Веб систем'!$B$5:$B$157,"1. Шаардлагын судалгаа, шинжилгээ",'Веб систем'!$I$5:$I$157,"Дууссан")</f>
        <v>6</v>
      </c>
      <c r="E25" s="11">
        <f>IFERROR(SUMIF('Веб систем'!$B$5:$B$157,"1. Шаардлагын судалгаа, шинжилгээ",'Веб систем'!$J$5:$J$157)/COUNTIF('Веб систем'!$B$5:$B$157,"1. Шаардлагын судалгаа, шинжилгээ"),0)</f>
        <v>0.6666666666666666</v>
      </c>
      <c r="F25" s="15" t="s">
        <v>23</v>
      </c>
    </row>
    <row r="26" ht="15.75" customHeight="1" spans="2:6" x14ac:dyDescent="0.25">
      <c r="B26" s="14" t="s">
        <v>24</v>
      </c>
      <c r="C26" s="8">
        <f>COUNTIF('Веб систем'!$B$5:$B$157,"2. Архитектур, дизайн боловсруулах")</f>
        <v>4</v>
      </c>
      <c r="D26" s="8">
        <f>COUNTIFS('Веб систем'!$B$5:$B$157,"2. Архитектур, дизайн боловсруулах",'Веб систем'!$I$5:$I$157,"Дууссан")</f>
        <v>4</v>
      </c>
      <c r="E26" s="11">
        <f>IFERROR(SUMIF('Веб систем'!$B$5:$B$157,"2. Архитектур, дизайн боловсруулах",'Веб систем'!$J$5:$J$157)/COUNTIF('Веб систем'!$B$5:$B$157,"2. Архитектур, дизайн боловсруулах"),0)</f>
        <v>1</v>
      </c>
      <c r="F26" s="15" t="s">
        <v>25</v>
      </c>
    </row>
    <row r="27" ht="15.75" customHeight="1" spans="2:6" x14ac:dyDescent="0.25">
      <c r="B27" s="14" t="s">
        <v>26</v>
      </c>
      <c r="C27" s="8">
        <f>COUNTIF('Веб систем'!$B$5:$B$157,"3. Өгөгдлийн сангийн загвар, маягтын бүтэц")</f>
        <v>7</v>
      </c>
      <c r="D27" s="8">
        <f>COUNTIFS('Веб систем'!$B$5:$B$157,"3. Өгөгдлийн сангийн загвар, маягтын бүтэц",'Веб систем'!$I$5:$I$157,"Дууссан")</f>
        <v>7</v>
      </c>
      <c r="E27" s="11">
        <f>IFERROR(SUMIF('Веб систем'!$B$5:$B$157,"3. Өгөгдлийн сангийн загвар, маягтын бүтэц",'Веб систем'!$J$5:$J$157)/COUNTIF('Веб систем'!$B$5:$B$157,"3. Өгөгдлийн сангийн загвар, маягтын бүтэц"),0)</f>
        <v>0.7142857142857143</v>
      </c>
      <c r="F27" s="15" t="s">
        <v>27</v>
      </c>
    </row>
    <row r="28" ht="15.75" customHeight="1" spans="2:6" x14ac:dyDescent="0.25">
      <c r="B28" s="14" t="s">
        <v>28</v>
      </c>
      <c r="C28" s="8">
        <f>COUNTIF('Веб систем'!$B$5:$B$157,"4. Цахим маягт, модуль хөгжүүлэлт")</f>
        <v>108</v>
      </c>
      <c r="D28" s="8">
        <f>COUNTIFS('Веб систем'!$B$5:$B$157,"4. Цахим маягт, модуль хөгжүүлэлт",'Веб систем'!$I$5:$I$157,"Дууссан")</f>
        <v>45</v>
      </c>
      <c r="E28" s="11">
        <f>IFERROR(SUMIF('Веб систем'!$B$5:$B$157,"4. Цахим маягт, модуль хөгжүүлэлт",'Веб систем'!$J$5:$J$157)/COUNTIF('Веб систем'!$B$5:$B$157,"4. Цахим маягт, модуль хөгжүүлэлт"),0)</f>
        <v>0.4351851851851852</v>
      </c>
      <c r="F28" s="15" t="s">
        <v>29</v>
      </c>
    </row>
    <row r="29" ht="15.75" customHeight="1" spans="2:6" x14ac:dyDescent="0.25">
      <c r="B29" s="14" t="s">
        <v>30</v>
      </c>
      <c r="C29" s="8">
        <f>COUNTIF('Веб систем'!$B$5:$B$157,"5. Тестлэлт, чанарын баталгаажуулалт")</f>
        <v>9</v>
      </c>
      <c r="D29" s="8">
        <f>COUNTIFS('Веб систем'!$B$5:$B$157,"5. Тестлэлт, чанарын баталгаажуулалт",'Веб систем'!$I$5:$I$157,"Дууссан")</f>
        <v>0</v>
      </c>
      <c r="E29" s="11">
        <f>IFERROR(SUMIF('Веб систем'!$B$5:$B$157,"5. Тестлэлт, чанарын баталгаажуулалт",'Веб систем'!$J$5:$J$157)/COUNTIF('Веб систем'!$B$5:$B$157,"5. Тестлэлт, чанарын баталгаажуулалт"),0)</f>
        <v>0</v>
      </c>
      <c r="F29" s="15" t="s">
        <v>31</v>
      </c>
    </row>
    <row r="30" ht="15.75" customHeight="1" spans="2:6" x14ac:dyDescent="0.25">
      <c r="B30" s="14" t="s">
        <v>32</v>
      </c>
      <c r="C30" s="8">
        <f>COUNTIF('Веб систем'!$B$5:$B$157,"6. Хэрэглэгчийн сургалт, баримт бичиг")</f>
        <v>6</v>
      </c>
      <c r="D30" s="8">
        <f>COUNTIFS('Веб систем'!$B$5:$B$157,"6. Хэрэглэгчийн сургалт, баримт бичиг",'Веб систем'!$I$5:$I$157,"Дууссан")</f>
        <v>0</v>
      </c>
      <c r="E30" s="11">
        <f>IFERROR(SUMIF('Веб систем'!$B$5:$B$157,"6. Хэрэглэгчийн сургалт, баримт бичиг",'Веб систем'!$J$5:$J$157)/COUNTIF('Веб систем'!$B$5:$B$157,"6. Хэрэглэгчийн сургалт, баримт бичиг"),0)</f>
        <v>0</v>
      </c>
      <c r="F30" s="15" t="s">
        <v>33</v>
      </c>
    </row>
    <row r="31" ht="15.75" customHeight="1" spans="2:6" x14ac:dyDescent="0.25">
      <c r="B31" s="14" t="s">
        <v>34</v>
      </c>
      <c r="C31" s="8">
        <f>COUNTIF('Веб систем'!$B$5:$B$157,"7. Систем ашиглалтад өгөх")</f>
        <v>5</v>
      </c>
      <c r="D31" s="8">
        <f>COUNTIFS('Веб систем'!$B$5:$B$157,"7. Систем ашиглалтад өгөх",'Веб систем'!$I$5:$I$157,"Дууссан")</f>
        <v>0</v>
      </c>
      <c r="E31" s="11">
        <f>IFERROR(SUMIF('Веб систем'!$B$5:$B$157,"7. Систем ашиглалтад өгөх",'Веб систем'!$J$5:$J$157)/COUNTIF('Веб систем'!$B$5:$B$157,"7. Систем ашиглалтад өгөх"),0)</f>
        <v>0</v>
      </c>
      <c r="F31" s="15" t="s">
        <v>35</v>
      </c>
    </row>
    <row r="32" ht="15.75" customHeight="1" spans="2:6" x14ac:dyDescent="0.25">
      <c r="B32" s="14" t="s">
        <v>36</v>
      </c>
      <c r="C32" s="8">
        <f>COUNTIF('Веб систем'!$B$5:$B$157,"8. Баталгаат хугацааны дэмжлэг")</f>
        <v>3</v>
      </c>
      <c r="D32" s="8">
        <f>COUNTIFS('Веб систем'!$B$5:$B$157,"8. Баталгаат хугацааны дэмжлэг",'Веб систем'!$I$5:$I$157,"Дууссан")</f>
        <v>0</v>
      </c>
      <c r="E32" s="11">
        <f>IFERROR(SUMIF('Веб систем'!$B$5:$B$157,"8. Баталгаат хугацааны дэмжлэг",'Веб систем'!$J$5:$J$157)/COUNTIF('Веб систем'!$B$5:$B$157,"8. Баталгаат хугацааны дэмжлэг"),0)</f>
        <v>0</v>
      </c>
      <c r="F32" s="15" t="s">
        <v>37</v>
      </c>
    </row>
    <row r="33" ht="15.75" customHeight="1" spans="2:6" x14ac:dyDescent="0.25">
      <c r="B33" s="12" t="s">
        <v>38</v>
      </c>
      <c r="C33" s="13"/>
      <c r="D33" s="13"/>
      <c r="E33" s="13"/>
      <c r="F33" s="13"/>
    </row>
    <row r="34" ht="15.75" customHeight="1" spans="2:6" x14ac:dyDescent="0.25">
      <c r="B34" s="14" t="s">
        <v>39</v>
      </c>
      <c r="C34" s="8">
        <f>COUNTIF('Мобайл апп'!$B$5:$B$86,"1. Шинжилгээ, төлөвлөлт")</f>
        <v>6</v>
      </c>
      <c r="D34" s="8">
        <f>COUNTIFS('Мобайл апп'!$B$5:$B$86,"1. Шинжилгээ, төлөвлөлт",'Мобайл апп'!$I$5:$I$86,"Дууссан")</f>
        <v>5</v>
      </c>
      <c r="E34" s="11">
        <f>IFERROR(SUMIF('Мобайл апп'!$B$5:$B$86,"1. Шинжилгээ, төлөвлөлт",'Мобайл апп'!$J$5:$J$86)/COUNTIF('Мобайл апп'!$B$5:$B$86,"1. Шинжилгээ, төлөвлөлт"),0)</f>
        <v>0.8333333333333334</v>
      </c>
      <c r="F34" s="15" t="s">
        <v>40</v>
      </c>
    </row>
    <row r="35" ht="15.75" customHeight="1" spans="2:6" x14ac:dyDescent="0.25">
      <c r="B35" s="14" t="s">
        <v>41</v>
      </c>
      <c r="C35" s="8">
        <f>COUNTIF('Мобайл апп'!$B$5:$B$86,"2. Архитектур, UI/UX дизайн")</f>
        <v>5</v>
      </c>
      <c r="D35" s="8">
        <f>COUNTIFS('Мобайл апп'!$B$5:$B$86,"2. Архитектур, UI/UX дизайн",'Мобайл апп'!$I$5:$I$86,"Дууссан")</f>
        <v>4</v>
      </c>
      <c r="E35" s="11">
        <f>IFERROR(SUMIF('Мобайл апп'!$B$5:$B$86,"2. Архитектур, UI/UX дизайн",'Мобайл апп'!$J$5:$J$86)/COUNTIF('Мобайл апп'!$B$5:$B$86,"2. Архитектур, UI/UX дизайн"),0)</f>
        <v>0.8</v>
      </c>
      <c r="F35" s="15" t="s">
        <v>42</v>
      </c>
    </row>
    <row r="36" ht="15.75" customHeight="1" spans="2:6" x14ac:dyDescent="0.25">
      <c r="B36" s="14" t="s">
        <v>43</v>
      </c>
      <c r="C36" s="8">
        <f>COUNTIF('Мобайл апп'!$B$5:$B$86,"3. Суурь систем хөгжүүлэлт")</f>
        <v>16</v>
      </c>
      <c r="D36" s="8">
        <f>COUNTIFS('Мобайл апп'!$B$5:$B$86,"3. Суурь систем хөгжүүлэлт",'Мобайл апп'!$I$5:$I$86,"Дууссан")</f>
        <v>2</v>
      </c>
      <c r="E36" s="11">
        <f>IFERROR(SUMIF('Мобайл апп'!$B$5:$B$86,"3. Суурь систем хөгжүүлэлт",'Мобайл апп'!$J$5:$J$86)/COUNTIF('Мобайл апп'!$B$5:$B$86,"3. Суурь систем хөгжүүлэлт"),0)</f>
        <v>0.125</v>
      </c>
      <c r="F36" s="15" t="s">
        <v>44</v>
      </c>
    </row>
    <row r="37" ht="15.75" customHeight="1" spans="2:6" x14ac:dyDescent="0.25">
      <c r="B37" s="14" t="s">
        <v>45</v>
      </c>
      <c r="C37" s="8">
        <f>COUNTIF('Мобайл апп'!$B$5:$B$86,"4. Эмчийн модуль")</f>
        <v>6</v>
      </c>
      <c r="D37" s="8">
        <f>COUNTIFS('Мобайл апп'!$B$5:$B$86,"4. Эмчийн модуль",'Мобайл апп'!$I$5:$I$86,"Дууссан")</f>
        <v>0</v>
      </c>
      <c r="E37" s="11">
        <f>IFERROR(SUMIF('Мобайл апп'!$B$5:$B$86,"4. Эмчийн модуль",'Мобайл апп'!$J$5:$J$86)/COUNTIF('Мобайл апп'!$B$5:$B$86,"4. Эмчийн модуль"),0)</f>
        <v>0</v>
      </c>
      <c r="F37" s="15" t="s">
        <v>46</v>
      </c>
    </row>
    <row r="38" ht="15.75" customHeight="1" spans="2:6" x14ac:dyDescent="0.25">
      <c r="B38" s="14" t="s">
        <v>47</v>
      </c>
      <c r="C38" s="8">
        <f>COUNTIF('Мобайл апп'!$B$5:$B$86,"5. Үйлчлүүлэгчийн модуль")</f>
        <v>8</v>
      </c>
      <c r="D38" s="8">
        <f>COUNTIFS('Мобайл апп'!$B$5:$B$86,"5. Үйлчлүүлэгчийн модуль",'Мобайл апп'!$I$5:$I$86,"Дууссан")</f>
        <v>0</v>
      </c>
      <c r="E38" s="11">
        <f>IFERROR(SUMIF('Мобайл апп'!$B$5:$B$86,"5. Үйлчлүүлэгчийн модуль",'Мобайл апп'!$J$5:$J$86)/COUNTIF('Мобайл апп'!$B$5:$B$86,"5. Үйлчлүүлэгчийн модуль"),0)</f>
        <v>0</v>
      </c>
      <c r="F38" s="15" t="s">
        <v>48</v>
      </c>
    </row>
    <row r="39" ht="15.75" customHeight="1" spans="2:6" x14ac:dyDescent="0.25">
      <c r="B39" s="14" t="s">
        <v>49</v>
      </c>
      <c r="C39" s="8">
        <f>COUNTIF('Мобайл апп'!$B$5:$B$86,"6. Нэмэлт модулиуд")</f>
        <v>15</v>
      </c>
      <c r="D39" s="8">
        <f>COUNTIFS('Мобайл апп'!$B$5:$B$86,"6. Нэмэлт модулиуд",'Мобайл апп'!$I$5:$I$86,"Дууссан")</f>
        <v>0</v>
      </c>
      <c r="E39" s="11">
        <f>IFERROR(SUMIF('Мобайл апп'!$B$5:$B$86,"6. Нэмэлт модулиуд",'Мобайл апп'!$J$5:$J$86)/COUNTIF('Мобайл апп'!$B$5:$B$86,"6. Нэмэлт модулиуд"),0)</f>
        <v>0</v>
      </c>
      <c r="F39" s="15" t="s">
        <v>50</v>
      </c>
    </row>
    <row r="40" ht="15.75" customHeight="1" spans="2:6" x14ac:dyDescent="0.25">
      <c r="B40" s="14" t="s">
        <v>51</v>
      </c>
      <c r="C40" s="8">
        <f>COUNTIF('Мобайл апп'!$B$5:$B$86,"7. Админ болон тайлан")</f>
        <v>8</v>
      </c>
      <c r="D40" s="8">
        <f>COUNTIFS('Мобайл апп'!$B$5:$B$86,"7. Админ болон тайлан",'Мобайл апп'!$I$5:$I$86,"Дууссан")</f>
        <v>0</v>
      </c>
      <c r="E40" s="11">
        <f>IFERROR(SUMIF('Мобайл апп'!$B$5:$B$86,"7. Админ болон тайлан",'Мобайл апп'!$J$5:$J$86)/COUNTIF('Мобайл апп'!$B$5:$B$86,"7. Админ болон тайлан"),0)</f>
        <v>0</v>
      </c>
      <c r="F40" s="15" t="s">
        <v>52</v>
      </c>
    </row>
    <row r="41" ht="15.75" customHeight="1" spans="2:6" x14ac:dyDescent="0.25">
      <c r="B41" s="14" t="s">
        <v>53</v>
      </c>
      <c r="C41" s="8">
        <f>COUNTIF('Мобайл апп'!$B$5:$B$86,"8. Туршилт, аюулгүй байдал")</f>
        <v>6</v>
      </c>
      <c r="D41" s="8">
        <f>COUNTIFS('Мобайл апп'!$B$5:$B$86,"8. Туршилт, аюулгүй байдал",'Мобайл апп'!$I$5:$I$86,"Дууссан")</f>
        <v>0</v>
      </c>
      <c r="E41" s="11">
        <f>IFERROR(SUMIF('Мобайл апп'!$B$5:$B$86,"8. Туршилт, аюулгүй байдал",'Мобайл апп'!$J$5:$J$86)/COUNTIF('Мобайл апп'!$B$5:$B$86,"8. Туршилт, аюулгүй байдал"),0)</f>
        <v>0</v>
      </c>
      <c r="F41" s="15" t="s">
        <v>54</v>
      </c>
    </row>
    <row r="42" ht="15.75" customHeight="1" spans="2:6" x14ac:dyDescent="0.25">
      <c r="B42" s="14" t="s">
        <v>55</v>
      </c>
      <c r="C42" s="8">
        <f>COUNTIF('Мобайл апп'!$B$5:$B$86,"9. Нэвтрүүлэлт")</f>
        <v>5</v>
      </c>
      <c r="D42" s="8">
        <f>COUNTIFS('Мобайл апп'!$B$5:$B$86,"9. Нэвтрүүлэлт",'Мобайл апп'!$I$5:$I$86,"Дууссан")</f>
        <v>0</v>
      </c>
      <c r="E42" s="11">
        <f>IFERROR(SUMIF('Мобайл апп'!$B$5:$B$86,"9. Нэвтрүүлэлт",'Мобайл апп'!$J$5:$J$86)/COUNTIF('Мобайл апп'!$B$5:$B$86,"9. Нэвтрүүлэлт"),0)</f>
        <v>0</v>
      </c>
      <c r="F42" s="15" t="s">
        <v>56</v>
      </c>
    </row>
    <row r="43" ht="15.75" customHeight="1" spans="2:6" x14ac:dyDescent="0.25">
      <c r="B43" s="14" t="s">
        <v>57</v>
      </c>
      <c r="C43" s="8">
        <f>COUNTIF('Мобайл апп'!$B$5:$B$86,"10. Баримт бичиг, сургалт")</f>
        <v>7</v>
      </c>
      <c r="D43" s="8">
        <f>COUNTIFS('Мобайл апп'!$B$5:$B$86,"10. Баримт бичиг, сургалт",'Мобайл апп'!$I$5:$I$86,"Дууссан")</f>
        <v>0</v>
      </c>
      <c r="E43" s="11">
        <f>IFERROR(SUMIF('Мобайл апп'!$B$5:$B$86,"10. Баримт бичиг, сургалт",'Мобайл апп'!$J$5:$J$86)/COUNTIF('Мобайл апп'!$B$5:$B$86,"10. Баримт бичиг, сургалт"),0)</f>
        <v>0</v>
      </c>
      <c r="F43" s="15" t="s">
        <v>58</v>
      </c>
    </row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6" zoomScaleNormal="106">
      <pane xSplit="3" ySplit="4" topLeftCell="D67" activePane="bottomRight" state="frozen"/>
      <selection pane="bottomRight" activeCell="E76" sqref="E76"/>
    </sheetView>
  </sheetViews>
  <sheetFormatPr defaultRowHeight="14.4" outlineLevelRow="0" outlineLevelCol="0" x14ac:dyDescent="0.3" defaultColWidth="14.44140625" customHeight="1"/>
  <cols>
    <col min="1" max="1" width="5" customWidth="1"/>
    <col min="2" max="2" width="38.6640625" customWidth="1"/>
    <col min="3" max="3" width="27.33203125" customWidth="1"/>
    <col min="4" max="4" width="42" customWidth="1"/>
    <col min="5" max="5" width="52" customWidth="1"/>
    <col min="6" max="6" width="13" customWidth="1"/>
    <col min="7" max="8" width="12" customWidth="1"/>
    <col min="9" max="9" width="27.109375" customWidth="1"/>
    <col min="10" max="10" width="14" customWidth="1"/>
    <col min="11" max="11" width="52" customWidth="1"/>
    <col min="12" max="12" width="40" customWidth="1"/>
    <col min="13" max="26" width="8.6640625" customWidth="1"/>
  </cols>
  <sheetData>
    <row r="1" ht="24" customHeight="1" spans="1:1" x14ac:dyDescent="0.25">
      <c r="A1" s="16"/>
    </row>
    <row r="2" ht="1.5" customHeight="1" spans="1:1" x14ac:dyDescent="0.25">
      <c r="A2" s="2"/>
    </row>
    <row r="3" ht="1.5" customHeight="1" x14ac:dyDescent="0.25"/>
    <row r="4" ht="31.5" customHeight="1" spans="1:12" x14ac:dyDescent="0.25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ht="26.4" customHeight="1" spans="1:12" x14ac:dyDescent="0.25">
      <c r="A5" s="17">
        <v>1</v>
      </c>
      <c r="B5" s="18" t="s">
        <v>22</v>
      </c>
      <c r="C5" s="19" t="s">
        <v>71</v>
      </c>
      <c r="D5" s="19" t="s">
        <v>72</v>
      </c>
      <c r="E5" s="19" t="s">
        <v>73</v>
      </c>
      <c r="F5" s="17" t="s">
        <v>17</v>
      </c>
      <c r="G5" s="20">
        <v>46156</v>
      </c>
      <c r="H5" s="20">
        <v>46158</v>
      </c>
      <c r="I5" s="21" t="s">
        <v>7</v>
      </c>
      <c r="J5" s="22">
        <v>1</v>
      </c>
      <c r="K5" s="19" t="s">
        <v>74</v>
      </c>
      <c r="L5" s="19"/>
    </row>
    <row r="6" ht="26.4" customHeight="1" spans="1:12" x14ac:dyDescent="0.25">
      <c r="A6" s="17">
        <v>2</v>
      </c>
      <c r="B6" s="19" t="s">
        <v>22</v>
      </c>
      <c r="C6" s="19" t="s">
        <v>71</v>
      </c>
      <c r="D6" s="19" t="s">
        <v>75</v>
      </c>
      <c r="E6" s="19" t="s">
        <v>76</v>
      </c>
      <c r="F6" s="17" t="s">
        <v>16</v>
      </c>
      <c r="G6" s="20">
        <v>46156</v>
      </c>
      <c r="H6" s="20">
        <v>46162</v>
      </c>
      <c r="I6" s="21" t="s">
        <v>7</v>
      </c>
      <c r="J6" s="22">
        <v>1</v>
      </c>
      <c r="K6" s="19" t="s">
        <v>77</v>
      </c>
      <c r="L6" s="19"/>
    </row>
    <row r="7" ht="52.8" customHeight="1" spans="1:12" x14ac:dyDescent="0.25">
      <c r="A7" s="17">
        <v>3</v>
      </c>
      <c r="B7" s="19" t="s">
        <v>22</v>
      </c>
      <c r="C7" s="19" t="s">
        <v>71</v>
      </c>
      <c r="D7" s="19" t="s">
        <v>78</v>
      </c>
      <c r="E7" s="19" t="s">
        <v>79</v>
      </c>
      <c r="F7" s="17" t="s">
        <v>17</v>
      </c>
      <c r="G7" s="20">
        <v>46156</v>
      </c>
      <c r="H7" s="20">
        <v>46162</v>
      </c>
      <c r="I7" s="21" t="s">
        <v>11</v>
      </c>
      <c r="J7" s="22">
        <v>0</v>
      </c>
      <c r="K7" s="19" t="s">
        <v>80</v>
      </c>
      <c r="L7" s="19" t="s">
        <v>81</v>
      </c>
    </row>
    <row r="8" ht="26.4" customHeight="1" spans="1:12" x14ac:dyDescent="0.25">
      <c r="A8" s="17">
        <v>4</v>
      </c>
      <c r="B8" s="19" t="s">
        <v>22</v>
      </c>
      <c r="C8" s="19" t="s">
        <v>71</v>
      </c>
      <c r="D8" s="19" t="s">
        <v>82</v>
      </c>
      <c r="E8" s="19" t="s">
        <v>83</v>
      </c>
      <c r="F8" s="17" t="s">
        <v>16</v>
      </c>
      <c r="G8" s="20">
        <v>46160</v>
      </c>
      <c r="H8" s="20">
        <v>46167</v>
      </c>
      <c r="I8" s="21" t="s">
        <v>7</v>
      </c>
      <c r="J8" s="22">
        <v>1</v>
      </c>
      <c r="K8" s="19" t="s">
        <v>84</v>
      </c>
      <c r="L8" s="19"/>
    </row>
    <row r="9" ht="26.4" customHeight="1" spans="1:12" x14ac:dyDescent="0.25">
      <c r="A9" s="17">
        <v>5</v>
      </c>
      <c r="B9" s="19" t="s">
        <v>22</v>
      </c>
      <c r="C9" s="19" t="s">
        <v>71</v>
      </c>
      <c r="D9" s="19" t="s">
        <v>85</v>
      </c>
      <c r="E9" s="19" t="s">
        <v>86</v>
      </c>
      <c r="F9" s="17" t="s">
        <v>16</v>
      </c>
      <c r="G9" s="20">
        <v>46160</v>
      </c>
      <c r="H9" s="20">
        <v>46167</v>
      </c>
      <c r="I9" s="21" t="s">
        <v>7</v>
      </c>
      <c r="J9" s="22">
        <v>1</v>
      </c>
      <c r="K9" s="19" t="s">
        <v>87</v>
      </c>
      <c r="L9" s="19"/>
    </row>
    <row r="10" ht="26.4" customHeight="1" spans="1:12" x14ac:dyDescent="0.25">
      <c r="A10" s="17">
        <v>6</v>
      </c>
      <c r="B10" s="19" t="s">
        <v>22</v>
      </c>
      <c r="C10" s="19" t="s">
        <v>71</v>
      </c>
      <c r="D10" s="19" t="s">
        <v>88</v>
      </c>
      <c r="E10" s="19" t="s">
        <v>89</v>
      </c>
      <c r="F10" s="17" t="s">
        <v>16</v>
      </c>
      <c r="G10" s="20">
        <v>46162</v>
      </c>
      <c r="H10" s="20">
        <v>46169</v>
      </c>
      <c r="I10" s="21" t="s">
        <v>7</v>
      </c>
      <c r="J10" s="22">
        <v>1</v>
      </c>
      <c r="K10" s="19" t="s">
        <v>90</v>
      </c>
      <c r="L10" s="19"/>
    </row>
    <row r="11" ht="39.6" customHeight="1" spans="1:12" x14ac:dyDescent="0.25">
      <c r="A11" s="17">
        <v>7</v>
      </c>
      <c r="B11" s="19" t="s">
        <v>22</v>
      </c>
      <c r="C11" s="19" t="s">
        <v>71</v>
      </c>
      <c r="D11" s="19" t="s">
        <v>91</v>
      </c>
      <c r="E11" s="19" t="s">
        <v>92</v>
      </c>
      <c r="F11" s="17" t="s">
        <v>17</v>
      </c>
      <c r="G11" s="20">
        <v>46162</v>
      </c>
      <c r="H11" s="20">
        <v>46169</v>
      </c>
      <c r="I11" s="17" t="s">
        <v>11</v>
      </c>
      <c r="J11" s="22">
        <v>0</v>
      </c>
      <c r="K11" s="19" t="s">
        <v>93</v>
      </c>
      <c r="L11" s="19" t="s">
        <v>94</v>
      </c>
    </row>
    <row r="12" ht="26.4" customHeight="1" spans="1:12" x14ac:dyDescent="0.25">
      <c r="A12" s="17">
        <v>8</v>
      </c>
      <c r="B12" s="19" t="s">
        <v>22</v>
      </c>
      <c r="C12" s="19" t="s">
        <v>71</v>
      </c>
      <c r="D12" s="19" t="s">
        <v>95</v>
      </c>
      <c r="E12" s="19" t="s">
        <v>96</v>
      </c>
      <c r="F12" s="17" t="s">
        <v>16</v>
      </c>
      <c r="G12" s="20">
        <v>46164</v>
      </c>
      <c r="H12" s="20">
        <v>46169</v>
      </c>
      <c r="I12" s="21" t="s">
        <v>7</v>
      </c>
      <c r="J12" s="22">
        <v>1</v>
      </c>
      <c r="K12" s="19" t="s">
        <v>97</v>
      </c>
      <c r="L12" s="19"/>
    </row>
    <row r="13" ht="39.6" customHeight="1" spans="1:12" x14ac:dyDescent="0.25">
      <c r="A13" s="17">
        <v>9</v>
      </c>
      <c r="B13" s="19" t="s">
        <v>22</v>
      </c>
      <c r="C13" s="19" t="s">
        <v>71</v>
      </c>
      <c r="D13" s="19" t="s">
        <v>98</v>
      </c>
      <c r="E13" s="19" t="s">
        <v>99</v>
      </c>
      <c r="F13" s="17" t="s">
        <v>17</v>
      </c>
      <c r="G13" s="20">
        <v>46167</v>
      </c>
      <c r="H13" s="20">
        <v>46169</v>
      </c>
      <c r="I13" s="17" t="s">
        <v>11</v>
      </c>
      <c r="J13" s="22">
        <v>0</v>
      </c>
      <c r="K13" s="19" t="s">
        <v>100</v>
      </c>
      <c r="L13" s="19" t="s">
        <v>101</v>
      </c>
    </row>
    <row r="14" ht="26.4" customHeight="1" spans="1:12" x14ac:dyDescent="0.25">
      <c r="A14" s="17">
        <v>10</v>
      </c>
      <c r="B14" s="18" t="s">
        <v>24</v>
      </c>
      <c r="C14" s="19" t="s">
        <v>102</v>
      </c>
      <c r="D14" s="19" t="s">
        <v>103</v>
      </c>
      <c r="E14" s="19" t="s">
        <v>104</v>
      </c>
      <c r="F14" s="17" t="s">
        <v>16</v>
      </c>
      <c r="G14" s="20">
        <v>46170</v>
      </c>
      <c r="H14" s="20">
        <v>46176</v>
      </c>
      <c r="I14" s="21" t="s">
        <v>7</v>
      </c>
      <c r="J14" s="22">
        <v>1</v>
      </c>
      <c r="K14" s="19" t="s">
        <v>105</v>
      </c>
      <c r="L14" s="19"/>
    </row>
    <row r="15" ht="26.4" customHeight="1" spans="1:12" x14ac:dyDescent="0.25">
      <c r="A15" s="17">
        <v>11</v>
      </c>
      <c r="B15" s="19" t="s">
        <v>24</v>
      </c>
      <c r="C15" s="19" t="s">
        <v>102</v>
      </c>
      <c r="D15" s="19" t="s">
        <v>106</v>
      </c>
      <c r="E15" s="19" t="s">
        <v>107</v>
      </c>
      <c r="F15" s="17" t="s">
        <v>16</v>
      </c>
      <c r="G15" s="20">
        <v>46170</v>
      </c>
      <c r="H15" s="20">
        <v>46176</v>
      </c>
      <c r="I15" s="21" t="s">
        <v>7</v>
      </c>
      <c r="J15" s="22">
        <v>1</v>
      </c>
      <c r="K15" s="19" t="s">
        <v>108</v>
      </c>
      <c r="L15" s="19"/>
    </row>
    <row r="16" ht="26.4" customHeight="1" spans="1:12" x14ac:dyDescent="0.25">
      <c r="A16" s="17">
        <v>12</v>
      </c>
      <c r="B16" s="19" t="s">
        <v>24</v>
      </c>
      <c r="C16" s="19" t="s">
        <v>102</v>
      </c>
      <c r="D16" s="19" t="s">
        <v>109</v>
      </c>
      <c r="E16" s="19" t="s">
        <v>110</v>
      </c>
      <c r="F16" s="17" t="s">
        <v>16</v>
      </c>
      <c r="G16" s="20">
        <v>46171</v>
      </c>
      <c r="H16" s="20">
        <v>46177</v>
      </c>
      <c r="I16" s="21" t="s">
        <v>7</v>
      </c>
      <c r="J16" s="22">
        <v>1</v>
      </c>
      <c r="K16" s="19" t="s">
        <v>111</v>
      </c>
      <c r="L16" s="19"/>
    </row>
    <row r="17" ht="25.8" customHeight="1" spans="1:12" x14ac:dyDescent="0.25">
      <c r="A17" s="17">
        <v>13</v>
      </c>
      <c r="B17" s="19" t="s">
        <v>24</v>
      </c>
      <c r="C17" s="19" t="s">
        <v>102</v>
      </c>
      <c r="D17" s="19" t="s">
        <v>112</v>
      </c>
      <c r="E17" s="19" t="s">
        <v>113</v>
      </c>
      <c r="F17" s="17" t="s">
        <v>16</v>
      </c>
      <c r="G17" s="20">
        <v>46170</v>
      </c>
      <c r="H17" s="20">
        <v>46178</v>
      </c>
      <c r="I17" s="21" t="s">
        <v>7</v>
      </c>
      <c r="J17" s="22">
        <v>1</v>
      </c>
      <c r="K17" s="19" t="s">
        <v>114</v>
      </c>
      <c r="L17" s="19"/>
    </row>
    <row r="18" ht="1.2" customHeight="1" hidden="1" spans="1:12" x14ac:dyDescent="0.25">
      <c r="A18" s="17"/>
      <c r="B18" s="19"/>
      <c r="C18" s="19"/>
      <c r="D18" s="19"/>
      <c r="E18" s="19"/>
      <c r="F18" s="17"/>
      <c r="G18" s="20"/>
      <c r="H18" s="20"/>
      <c r="I18" s="21"/>
      <c r="J18" s="23"/>
      <c r="K18" s="19"/>
      <c r="L18" s="19"/>
    </row>
    <row r="19" hidden="1" spans="1:12" x14ac:dyDescent="0.25">
      <c r="A19" s="17"/>
      <c r="B19" s="19"/>
      <c r="C19" s="19"/>
      <c r="D19" s="19"/>
      <c r="E19" s="19"/>
      <c r="F19" s="17"/>
      <c r="G19" s="20"/>
      <c r="H19" s="20"/>
      <c r="I19" s="17"/>
      <c r="J19" s="23"/>
      <c r="K19" s="19"/>
      <c r="L19" s="19"/>
    </row>
    <row r="20" ht="26.4" customHeight="1" spans="1:12" x14ac:dyDescent="0.25">
      <c r="A20" s="17">
        <v>16</v>
      </c>
      <c r="B20" s="18" t="s">
        <v>26</v>
      </c>
      <c r="C20" s="19" t="s">
        <v>115</v>
      </c>
      <c r="D20" s="19" t="s">
        <v>116</v>
      </c>
      <c r="E20" s="19" t="s">
        <v>117</v>
      </c>
      <c r="F20" s="17" t="s">
        <v>16</v>
      </c>
      <c r="G20" s="20">
        <v>46180</v>
      </c>
      <c r="H20" s="20">
        <v>46193</v>
      </c>
      <c r="I20" s="21" t="s">
        <v>7</v>
      </c>
      <c r="J20" s="22">
        <v>1</v>
      </c>
      <c r="K20" s="19" t="s">
        <v>118</v>
      </c>
      <c r="L20" s="19"/>
    </row>
    <row r="21" ht="15.75" customHeight="1" spans="1:12" x14ac:dyDescent="0.25">
      <c r="A21" s="17">
        <v>17</v>
      </c>
      <c r="B21" s="19" t="s">
        <v>26</v>
      </c>
      <c r="C21" s="19" t="s">
        <v>115</v>
      </c>
      <c r="D21" s="19" t="s">
        <v>119</v>
      </c>
      <c r="E21" s="19" t="s">
        <v>120</v>
      </c>
      <c r="F21" s="17" t="s">
        <v>16</v>
      </c>
      <c r="G21" s="20">
        <v>46183</v>
      </c>
      <c r="H21" s="20">
        <v>46198</v>
      </c>
      <c r="I21" s="21" t="s">
        <v>7</v>
      </c>
      <c r="J21" s="22">
        <v>1</v>
      </c>
      <c r="K21" s="19" t="s">
        <v>121</v>
      </c>
      <c r="L21" s="19"/>
    </row>
    <row r="22" ht="15.75" customHeight="1" spans="1:12" x14ac:dyDescent="0.25">
      <c r="A22" s="17">
        <v>18</v>
      </c>
      <c r="B22" s="19" t="s">
        <v>26</v>
      </c>
      <c r="C22" s="19" t="s">
        <v>115</v>
      </c>
      <c r="D22" s="19" t="s">
        <v>122</v>
      </c>
      <c r="E22" s="19" t="s">
        <v>123</v>
      </c>
      <c r="F22" s="17" t="s">
        <v>16</v>
      </c>
      <c r="G22" s="20">
        <v>46183</v>
      </c>
      <c r="H22" s="20">
        <v>46203</v>
      </c>
      <c r="I22" s="21" t="s">
        <v>7</v>
      </c>
      <c r="J22" s="22">
        <v>1</v>
      </c>
      <c r="K22" s="19" t="s">
        <v>124</v>
      </c>
      <c r="L22" s="19"/>
    </row>
    <row r="23" ht="15.75" customHeight="1" spans="1:12" x14ac:dyDescent="0.25">
      <c r="A23" s="17">
        <v>19</v>
      </c>
      <c r="B23" s="19" t="s">
        <v>26</v>
      </c>
      <c r="C23" s="19" t="s">
        <v>115</v>
      </c>
      <c r="D23" s="19" t="s">
        <v>125</v>
      </c>
      <c r="E23" s="19" t="s">
        <v>126</v>
      </c>
      <c r="F23" s="17" t="s">
        <v>17</v>
      </c>
      <c r="G23" s="20">
        <v>46198</v>
      </c>
      <c r="H23" s="20">
        <v>46209</v>
      </c>
      <c r="I23" s="17" t="s">
        <v>7</v>
      </c>
      <c r="J23" s="23">
        <v>0</v>
      </c>
      <c r="K23" s="19" t="s">
        <v>127</v>
      </c>
      <c r="L23" s="19" t="s">
        <v>128</v>
      </c>
    </row>
    <row r="24" ht="15.75" customHeight="1" spans="1:12" x14ac:dyDescent="0.25">
      <c r="A24" s="17">
        <v>20</v>
      </c>
      <c r="B24" s="19" t="s">
        <v>26</v>
      </c>
      <c r="C24" s="19" t="s">
        <v>115</v>
      </c>
      <c r="D24" s="19" t="s">
        <v>129</v>
      </c>
      <c r="E24" s="19" t="s">
        <v>130</v>
      </c>
      <c r="F24" s="17" t="s">
        <v>16</v>
      </c>
      <c r="G24" s="20">
        <v>46188</v>
      </c>
      <c r="H24" s="20">
        <v>46209</v>
      </c>
      <c r="I24" s="21" t="s">
        <v>7</v>
      </c>
      <c r="J24" s="22">
        <v>1</v>
      </c>
      <c r="K24" s="19" t="s">
        <v>131</v>
      </c>
      <c r="L24" s="19"/>
    </row>
    <row r="25" ht="15.75" customHeight="1" spans="1:12" x14ac:dyDescent="0.25">
      <c r="A25" s="17">
        <v>21</v>
      </c>
      <c r="B25" s="19" t="s">
        <v>26</v>
      </c>
      <c r="C25" s="19" t="s">
        <v>115</v>
      </c>
      <c r="D25" s="19" t="s">
        <v>132</v>
      </c>
      <c r="E25" s="19" t="s">
        <v>133</v>
      </c>
      <c r="F25" s="17" t="s">
        <v>16</v>
      </c>
      <c r="G25" s="20">
        <v>46180</v>
      </c>
      <c r="H25" s="20">
        <v>46188</v>
      </c>
      <c r="I25" s="21" t="s">
        <v>7</v>
      </c>
      <c r="J25" s="22">
        <v>1</v>
      </c>
      <c r="K25" s="19" t="s">
        <v>134</v>
      </c>
      <c r="L25" s="19"/>
    </row>
    <row r="26" ht="15.75" customHeight="1" spans="1:12" x14ac:dyDescent="0.25">
      <c r="A26" s="17">
        <v>22</v>
      </c>
      <c r="B26" s="19" t="s">
        <v>26</v>
      </c>
      <c r="C26" s="19" t="s">
        <v>115</v>
      </c>
      <c r="D26" s="19" t="s">
        <v>135</v>
      </c>
      <c r="E26" s="19" t="s">
        <v>136</v>
      </c>
      <c r="F26" s="17" t="s">
        <v>17</v>
      </c>
      <c r="G26" s="20">
        <v>46180</v>
      </c>
      <c r="H26" s="20">
        <v>46193</v>
      </c>
      <c r="I26" s="17" t="s">
        <v>7</v>
      </c>
      <c r="J26" s="23">
        <v>0</v>
      </c>
      <c r="K26" s="19" t="s">
        <v>137</v>
      </c>
      <c r="L26" s="19" t="s">
        <v>138</v>
      </c>
    </row>
    <row r="27" ht="15.75" customHeight="1" spans="1:12" x14ac:dyDescent="0.25">
      <c r="A27" s="17">
        <v>23</v>
      </c>
      <c r="B27" s="18" t="s">
        <v>28</v>
      </c>
      <c r="C27" s="19" t="s">
        <v>139</v>
      </c>
      <c r="D27" s="19" t="s">
        <v>140</v>
      </c>
      <c r="E27" s="19" t="s">
        <v>141</v>
      </c>
      <c r="F27" s="17" t="s">
        <v>17</v>
      </c>
      <c r="G27" s="20">
        <v>46210</v>
      </c>
      <c r="H27" s="20">
        <v>46214</v>
      </c>
      <c r="I27" s="17" t="s">
        <v>7</v>
      </c>
      <c r="J27" s="23">
        <v>0</v>
      </c>
      <c r="K27" s="19" t="s">
        <v>142</v>
      </c>
      <c r="L27" s="19" t="s">
        <v>143</v>
      </c>
    </row>
    <row r="28" ht="15.75" customHeight="1" spans="1:12" x14ac:dyDescent="0.25">
      <c r="A28" s="17">
        <v>24</v>
      </c>
      <c r="B28" s="19" t="s">
        <v>28</v>
      </c>
      <c r="C28" s="19" t="s">
        <v>139</v>
      </c>
      <c r="D28" s="19" t="s">
        <v>140</v>
      </c>
      <c r="E28" s="19" t="s">
        <v>144</v>
      </c>
      <c r="F28" s="17" t="s">
        <v>16</v>
      </c>
      <c r="G28" s="20">
        <v>46212</v>
      </c>
      <c r="H28" s="20">
        <v>46216</v>
      </c>
      <c r="I28" s="21" t="s">
        <v>7</v>
      </c>
      <c r="J28" s="22">
        <v>1</v>
      </c>
      <c r="K28" s="19" t="s">
        <v>145</v>
      </c>
      <c r="L28" s="19"/>
    </row>
    <row r="29" ht="15.75" customHeight="1" spans="1:12" x14ac:dyDescent="0.25">
      <c r="A29" s="17">
        <v>25</v>
      </c>
      <c r="B29" s="19" t="s">
        <v>28</v>
      </c>
      <c r="C29" s="19" t="s">
        <v>139</v>
      </c>
      <c r="D29" s="19" t="s">
        <v>140</v>
      </c>
      <c r="E29" s="19" t="s">
        <v>146</v>
      </c>
      <c r="F29" s="17" t="s">
        <v>16</v>
      </c>
      <c r="G29" s="20">
        <v>46215</v>
      </c>
      <c r="H29" s="20">
        <v>46221</v>
      </c>
      <c r="I29" s="21" t="s">
        <v>7</v>
      </c>
      <c r="J29" s="22">
        <v>1</v>
      </c>
      <c r="K29" s="19" t="s">
        <v>147</v>
      </c>
      <c r="L29" s="19"/>
    </row>
    <row r="30" ht="15.75" customHeight="1" spans="1:12" x14ac:dyDescent="0.25">
      <c r="A30" s="17">
        <v>26</v>
      </c>
      <c r="B30" s="19" t="s">
        <v>28</v>
      </c>
      <c r="C30" s="19" t="s">
        <v>139</v>
      </c>
      <c r="D30" s="19" t="s">
        <v>140</v>
      </c>
      <c r="E30" s="19" t="s">
        <v>148</v>
      </c>
      <c r="F30" s="17" t="s">
        <v>16</v>
      </c>
      <c r="G30" s="20">
        <v>46218</v>
      </c>
      <c r="H30" s="20">
        <v>46223</v>
      </c>
      <c r="I30" s="21" t="s">
        <v>7</v>
      </c>
      <c r="J30" s="22">
        <v>1</v>
      </c>
      <c r="K30" s="19" t="s">
        <v>149</v>
      </c>
      <c r="L30" s="19"/>
    </row>
    <row r="31" ht="15.75" customHeight="1" spans="1:12" x14ac:dyDescent="0.25">
      <c r="A31" s="17">
        <v>27</v>
      </c>
      <c r="B31" s="19" t="s">
        <v>28</v>
      </c>
      <c r="C31" s="19" t="s">
        <v>139</v>
      </c>
      <c r="D31" s="19" t="s">
        <v>140</v>
      </c>
      <c r="E31" s="19" t="s">
        <v>150</v>
      </c>
      <c r="F31" s="17" t="s">
        <v>16</v>
      </c>
      <c r="G31" s="20">
        <v>46220</v>
      </c>
      <c r="H31" s="20">
        <v>46224</v>
      </c>
      <c r="I31" s="21" t="s">
        <v>7</v>
      </c>
      <c r="J31" s="22">
        <v>1</v>
      </c>
      <c r="K31" s="19" t="s">
        <v>151</v>
      </c>
      <c r="L31" s="19" t="s">
        <v>152</v>
      </c>
    </row>
    <row r="32" ht="15.75" customHeight="1" spans="1:12" x14ac:dyDescent="0.25">
      <c r="A32" s="17">
        <v>28</v>
      </c>
      <c r="B32" s="19" t="s">
        <v>28</v>
      </c>
      <c r="C32" s="19" t="s">
        <v>139</v>
      </c>
      <c r="D32" s="19" t="s">
        <v>140</v>
      </c>
      <c r="E32" s="19" t="s">
        <v>153</v>
      </c>
      <c r="F32" s="17" t="s">
        <v>17</v>
      </c>
      <c r="G32" s="20">
        <v>46223</v>
      </c>
      <c r="H32" s="20">
        <v>46227</v>
      </c>
      <c r="I32" s="17" t="s">
        <v>10</v>
      </c>
      <c r="J32" s="23">
        <v>0</v>
      </c>
      <c r="K32" s="19" t="s">
        <v>154</v>
      </c>
      <c r="L32" s="19"/>
    </row>
    <row r="33" ht="15.75" customHeight="1" spans="1:12" x14ac:dyDescent="0.25">
      <c r="A33" s="17">
        <v>29</v>
      </c>
      <c r="B33" s="19" t="s">
        <v>28</v>
      </c>
      <c r="C33" s="19" t="s">
        <v>139</v>
      </c>
      <c r="D33" s="19" t="s">
        <v>155</v>
      </c>
      <c r="E33" s="19" t="s">
        <v>141</v>
      </c>
      <c r="F33" s="17" t="s">
        <v>17</v>
      </c>
      <c r="G33" s="20">
        <v>46210</v>
      </c>
      <c r="H33" s="20">
        <v>46214</v>
      </c>
      <c r="I33" s="17" t="s">
        <v>7</v>
      </c>
      <c r="J33" s="23">
        <v>0</v>
      </c>
      <c r="K33" s="19" t="s">
        <v>142</v>
      </c>
      <c r="L33" s="19" t="s">
        <v>143</v>
      </c>
    </row>
    <row r="34" ht="15.75" customHeight="1" spans="1:12" x14ac:dyDescent="0.25">
      <c r="A34" s="17">
        <v>30</v>
      </c>
      <c r="B34" s="19" t="s">
        <v>28</v>
      </c>
      <c r="C34" s="19" t="s">
        <v>139</v>
      </c>
      <c r="D34" s="19" t="s">
        <v>155</v>
      </c>
      <c r="E34" s="19" t="s">
        <v>144</v>
      </c>
      <c r="F34" s="17" t="s">
        <v>16</v>
      </c>
      <c r="G34" s="20">
        <v>46212</v>
      </c>
      <c r="H34" s="20">
        <v>46216</v>
      </c>
      <c r="I34" s="21" t="s">
        <v>7</v>
      </c>
      <c r="J34" s="22">
        <v>1</v>
      </c>
      <c r="K34" s="19" t="s">
        <v>145</v>
      </c>
      <c r="L34" s="19"/>
    </row>
    <row r="35" ht="15.75" customHeight="1" spans="1:12" x14ac:dyDescent="0.25">
      <c r="A35" s="17">
        <v>31</v>
      </c>
      <c r="B35" s="19" t="s">
        <v>28</v>
      </c>
      <c r="C35" s="19" t="s">
        <v>139</v>
      </c>
      <c r="D35" s="19" t="s">
        <v>155</v>
      </c>
      <c r="E35" s="19" t="s">
        <v>146</v>
      </c>
      <c r="F35" s="17" t="s">
        <v>16</v>
      </c>
      <c r="G35" s="20">
        <v>46215</v>
      </c>
      <c r="H35" s="20">
        <v>46221</v>
      </c>
      <c r="I35" s="21" t="s">
        <v>7</v>
      </c>
      <c r="J35" s="22">
        <v>1</v>
      </c>
      <c r="K35" s="19" t="s">
        <v>147</v>
      </c>
      <c r="L35" s="19"/>
    </row>
    <row r="36" ht="15.75" customHeight="1" spans="1:12" x14ac:dyDescent="0.25">
      <c r="A36" s="17">
        <v>32</v>
      </c>
      <c r="B36" s="19" t="s">
        <v>28</v>
      </c>
      <c r="C36" s="19" t="s">
        <v>139</v>
      </c>
      <c r="D36" s="19" t="s">
        <v>155</v>
      </c>
      <c r="E36" s="19" t="s">
        <v>148</v>
      </c>
      <c r="F36" s="17" t="s">
        <v>16</v>
      </c>
      <c r="G36" s="20">
        <v>46218</v>
      </c>
      <c r="H36" s="20">
        <v>46223</v>
      </c>
      <c r="I36" s="21" t="s">
        <v>7</v>
      </c>
      <c r="J36" s="22">
        <v>1</v>
      </c>
      <c r="K36" s="19" t="s">
        <v>149</v>
      </c>
      <c r="L36" s="19"/>
    </row>
    <row r="37" ht="15.75" customHeight="1" spans="1:12" x14ac:dyDescent="0.25">
      <c r="A37" s="17">
        <v>33</v>
      </c>
      <c r="B37" s="19" t="s">
        <v>28</v>
      </c>
      <c r="C37" s="19" t="s">
        <v>139</v>
      </c>
      <c r="D37" s="19" t="s">
        <v>155</v>
      </c>
      <c r="E37" s="19" t="s">
        <v>150</v>
      </c>
      <c r="F37" s="17" t="s">
        <v>16</v>
      </c>
      <c r="G37" s="20">
        <v>46220</v>
      </c>
      <c r="H37" s="20">
        <v>46224</v>
      </c>
      <c r="I37" s="21" t="s">
        <v>7</v>
      </c>
      <c r="J37" s="22">
        <v>1</v>
      </c>
      <c r="K37" s="19" t="s">
        <v>151</v>
      </c>
      <c r="L37" s="19" t="s">
        <v>156</v>
      </c>
    </row>
    <row r="38" ht="15.75" customHeight="1" spans="1:12" x14ac:dyDescent="0.25">
      <c r="A38" s="17">
        <v>34</v>
      </c>
      <c r="B38" s="19" t="s">
        <v>28</v>
      </c>
      <c r="C38" s="19" t="s">
        <v>139</v>
      </c>
      <c r="D38" s="19" t="s">
        <v>155</v>
      </c>
      <c r="E38" s="19" t="s">
        <v>153</v>
      </c>
      <c r="F38" s="17" t="s">
        <v>17</v>
      </c>
      <c r="G38" s="20">
        <v>46223</v>
      </c>
      <c r="H38" s="20">
        <v>46227</v>
      </c>
      <c r="I38" s="21" t="s">
        <v>10</v>
      </c>
      <c r="J38" s="22">
        <v>0</v>
      </c>
      <c r="K38" s="19" t="s">
        <v>154</v>
      </c>
      <c r="L38" s="19"/>
    </row>
    <row r="39" ht="15.75" customHeight="1" spans="1:12" x14ac:dyDescent="0.25">
      <c r="A39" s="17">
        <v>35</v>
      </c>
      <c r="B39" s="19" t="s">
        <v>28</v>
      </c>
      <c r="C39" s="19" t="s">
        <v>139</v>
      </c>
      <c r="D39" s="19" t="s">
        <v>157</v>
      </c>
      <c r="E39" s="19" t="s">
        <v>141</v>
      </c>
      <c r="F39" s="17" t="s">
        <v>17</v>
      </c>
      <c r="G39" s="20">
        <v>46216</v>
      </c>
      <c r="H39" s="20">
        <v>46220</v>
      </c>
      <c r="I39" s="17" t="s">
        <v>7</v>
      </c>
      <c r="J39" s="23">
        <v>0</v>
      </c>
      <c r="K39" s="19" t="s">
        <v>142</v>
      </c>
      <c r="L39" s="19" t="s">
        <v>143</v>
      </c>
    </row>
    <row r="40" ht="15.75" customHeight="1" spans="1:12" x14ac:dyDescent="0.25">
      <c r="A40" s="17">
        <v>36</v>
      </c>
      <c r="B40" s="19" t="s">
        <v>28</v>
      </c>
      <c r="C40" s="19" t="s">
        <v>139</v>
      </c>
      <c r="D40" s="19" t="s">
        <v>157</v>
      </c>
      <c r="E40" s="19" t="s">
        <v>144</v>
      </c>
      <c r="F40" s="17" t="s">
        <v>16</v>
      </c>
      <c r="G40" s="20">
        <v>46218</v>
      </c>
      <c r="H40" s="20">
        <v>46222</v>
      </c>
      <c r="I40" s="17" t="s">
        <v>7</v>
      </c>
      <c r="J40" s="23">
        <v>1</v>
      </c>
      <c r="K40" s="19" t="s">
        <v>145</v>
      </c>
      <c r="L40" s="19"/>
    </row>
    <row r="41" ht="15.75" customHeight="1" spans="1:12" x14ac:dyDescent="0.25">
      <c r="A41" s="17">
        <v>37</v>
      </c>
      <c r="B41" s="19" t="s">
        <v>28</v>
      </c>
      <c r="C41" s="19" t="s">
        <v>139</v>
      </c>
      <c r="D41" s="19" t="s">
        <v>157</v>
      </c>
      <c r="E41" s="19" t="s">
        <v>146</v>
      </c>
      <c r="F41" s="17" t="s">
        <v>16</v>
      </c>
      <c r="G41" s="20">
        <v>46221</v>
      </c>
      <c r="H41" s="20">
        <v>46228</v>
      </c>
      <c r="I41" s="17" t="s">
        <v>7</v>
      </c>
      <c r="J41" s="23">
        <v>1</v>
      </c>
      <c r="K41" s="19" t="s">
        <v>147</v>
      </c>
      <c r="L41" s="19"/>
    </row>
    <row r="42" ht="15.75" customHeight="1" spans="1:12" x14ac:dyDescent="0.25">
      <c r="A42" s="17">
        <v>38</v>
      </c>
      <c r="B42" s="19" t="s">
        <v>28</v>
      </c>
      <c r="C42" s="19" t="s">
        <v>139</v>
      </c>
      <c r="D42" s="19" t="s">
        <v>157</v>
      </c>
      <c r="E42" s="19" t="s">
        <v>148</v>
      </c>
      <c r="F42" s="17" t="s">
        <v>16</v>
      </c>
      <c r="G42" s="20">
        <v>46225</v>
      </c>
      <c r="H42" s="20">
        <v>46230</v>
      </c>
      <c r="I42" s="17" t="s">
        <v>7</v>
      </c>
      <c r="J42" s="23">
        <v>1</v>
      </c>
      <c r="K42" s="19" t="s">
        <v>149</v>
      </c>
      <c r="L42" s="19"/>
    </row>
    <row r="43" ht="15.75" customHeight="1" spans="1:12" x14ac:dyDescent="0.25">
      <c r="A43" s="17">
        <v>39</v>
      </c>
      <c r="B43" s="19" t="s">
        <v>28</v>
      </c>
      <c r="C43" s="19" t="s">
        <v>139</v>
      </c>
      <c r="D43" s="19" t="s">
        <v>157</v>
      </c>
      <c r="E43" s="19" t="s">
        <v>150</v>
      </c>
      <c r="F43" s="17" t="s">
        <v>16</v>
      </c>
      <c r="G43" s="20">
        <v>46227</v>
      </c>
      <c r="H43" s="20">
        <v>46231</v>
      </c>
      <c r="I43" s="17" t="s">
        <v>9</v>
      </c>
      <c r="J43" s="23">
        <v>0.5</v>
      </c>
      <c r="K43" s="19" t="s">
        <v>151</v>
      </c>
      <c r="L43" s="19" t="s">
        <v>152</v>
      </c>
    </row>
    <row r="44" ht="15.75" customHeight="1" spans="1:12" x14ac:dyDescent="0.25">
      <c r="A44" s="17">
        <v>40</v>
      </c>
      <c r="B44" s="19" t="s">
        <v>28</v>
      </c>
      <c r="C44" s="19" t="s">
        <v>139</v>
      </c>
      <c r="D44" s="19" t="s">
        <v>157</v>
      </c>
      <c r="E44" s="19" t="s">
        <v>153</v>
      </c>
      <c r="F44" s="17" t="s">
        <v>17</v>
      </c>
      <c r="G44" s="20">
        <v>46230</v>
      </c>
      <c r="H44" s="20">
        <v>46234</v>
      </c>
      <c r="I44" s="17" t="s">
        <v>10</v>
      </c>
      <c r="J44" s="23">
        <v>0</v>
      </c>
      <c r="K44" s="19" t="s">
        <v>154</v>
      </c>
      <c r="L44" s="19"/>
    </row>
    <row r="45" ht="15.75" customHeight="1" spans="1:12" x14ac:dyDescent="0.25">
      <c r="A45" s="17">
        <v>41</v>
      </c>
      <c r="B45" s="19" t="s">
        <v>28</v>
      </c>
      <c r="C45" s="19" t="s">
        <v>139</v>
      </c>
      <c r="D45" s="19" t="s">
        <v>158</v>
      </c>
      <c r="E45" s="19" t="s">
        <v>141</v>
      </c>
      <c r="F45" s="17" t="s">
        <v>17</v>
      </c>
      <c r="G45" s="20">
        <v>46223</v>
      </c>
      <c r="H45" s="20">
        <v>46227</v>
      </c>
      <c r="I45" s="17" t="s">
        <v>11</v>
      </c>
      <c r="J45" s="23">
        <v>0</v>
      </c>
      <c r="K45" s="19" t="s">
        <v>142</v>
      </c>
      <c r="L45" s="19" t="s">
        <v>159</v>
      </c>
    </row>
    <row r="46" ht="15.75" customHeight="1" spans="1:12" x14ac:dyDescent="0.25">
      <c r="A46" s="17">
        <v>42</v>
      </c>
      <c r="B46" s="19" t="s">
        <v>28</v>
      </c>
      <c r="C46" s="19" t="s">
        <v>139</v>
      </c>
      <c r="D46" s="19" t="s">
        <v>158</v>
      </c>
      <c r="E46" s="19" t="s">
        <v>144</v>
      </c>
      <c r="F46" s="17" t="s">
        <v>16</v>
      </c>
      <c r="G46" s="20">
        <v>46225</v>
      </c>
      <c r="H46" s="20">
        <v>46229</v>
      </c>
      <c r="I46" s="17" t="s">
        <v>11</v>
      </c>
      <c r="J46" s="23">
        <v>0</v>
      </c>
      <c r="K46" s="19" t="s">
        <v>145</v>
      </c>
      <c r="L46" s="19" t="s">
        <v>159</v>
      </c>
    </row>
    <row r="47" ht="15.75" customHeight="1" spans="1:12" x14ac:dyDescent="0.25">
      <c r="A47" s="17">
        <v>43</v>
      </c>
      <c r="B47" s="19" t="s">
        <v>28</v>
      </c>
      <c r="C47" s="19" t="s">
        <v>139</v>
      </c>
      <c r="D47" s="19" t="s">
        <v>158</v>
      </c>
      <c r="E47" s="19" t="s">
        <v>160</v>
      </c>
      <c r="F47" s="17" t="s">
        <v>16</v>
      </c>
      <c r="G47" s="20">
        <v>46228</v>
      </c>
      <c r="H47" s="20">
        <v>46241</v>
      </c>
      <c r="I47" s="17" t="s">
        <v>11</v>
      </c>
      <c r="J47" s="23">
        <v>0</v>
      </c>
      <c r="K47" s="19" t="s">
        <v>161</v>
      </c>
      <c r="L47" s="19" t="s">
        <v>159</v>
      </c>
    </row>
    <row r="48" ht="15.75" customHeight="1" spans="1:12" x14ac:dyDescent="0.25">
      <c r="A48" s="17">
        <v>44</v>
      </c>
      <c r="B48" s="19" t="s">
        <v>28</v>
      </c>
      <c r="C48" s="19" t="s">
        <v>139</v>
      </c>
      <c r="D48" s="19" t="s">
        <v>162</v>
      </c>
      <c r="E48" s="19" t="s">
        <v>141</v>
      </c>
      <c r="F48" s="17" t="s">
        <v>17</v>
      </c>
      <c r="G48" s="20">
        <v>46216</v>
      </c>
      <c r="H48" s="20">
        <v>46220</v>
      </c>
      <c r="I48" s="17" t="s">
        <v>11</v>
      </c>
      <c r="J48" s="23">
        <v>0</v>
      </c>
      <c r="K48" s="19" t="s">
        <v>142</v>
      </c>
      <c r="L48" s="19" t="s">
        <v>143</v>
      </c>
    </row>
    <row r="49" ht="15.75" customHeight="1" spans="1:12" x14ac:dyDescent="0.25">
      <c r="A49" s="17">
        <v>45</v>
      </c>
      <c r="B49" s="19" t="s">
        <v>28</v>
      </c>
      <c r="C49" s="19" t="s">
        <v>139</v>
      </c>
      <c r="D49" s="19" t="s">
        <v>162</v>
      </c>
      <c r="E49" s="19" t="s">
        <v>144</v>
      </c>
      <c r="F49" s="17" t="s">
        <v>16</v>
      </c>
      <c r="G49" s="20">
        <v>46218</v>
      </c>
      <c r="H49" s="20">
        <v>46222</v>
      </c>
      <c r="I49" s="17" t="s">
        <v>7</v>
      </c>
      <c r="J49" s="23">
        <v>1</v>
      </c>
      <c r="K49" s="19" t="s">
        <v>145</v>
      </c>
      <c r="L49" s="19"/>
    </row>
    <row r="50" ht="15.75" customHeight="1" spans="1:12" x14ac:dyDescent="0.25">
      <c r="A50" s="17">
        <v>46</v>
      </c>
      <c r="B50" s="19" t="s">
        <v>28</v>
      </c>
      <c r="C50" s="19" t="s">
        <v>139</v>
      </c>
      <c r="D50" s="19" t="s">
        <v>162</v>
      </c>
      <c r="E50" s="19" t="s">
        <v>146</v>
      </c>
      <c r="F50" s="17" t="s">
        <v>16</v>
      </c>
      <c r="G50" s="20">
        <v>46221</v>
      </c>
      <c r="H50" s="20">
        <v>46228</v>
      </c>
      <c r="I50" s="17" t="s">
        <v>7</v>
      </c>
      <c r="J50" s="23">
        <v>1</v>
      </c>
      <c r="K50" s="19" t="s">
        <v>147</v>
      </c>
      <c r="L50" s="19"/>
    </row>
    <row r="51" ht="15.75" customHeight="1" spans="1:12" x14ac:dyDescent="0.25">
      <c r="A51" s="17">
        <v>47</v>
      </c>
      <c r="B51" s="19" t="s">
        <v>28</v>
      </c>
      <c r="C51" s="19" t="s">
        <v>139</v>
      </c>
      <c r="D51" s="19" t="s">
        <v>162</v>
      </c>
      <c r="E51" s="19" t="s">
        <v>148</v>
      </c>
      <c r="F51" s="17" t="s">
        <v>16</v>
      </c>
      <c r="G51" s="20">
        <v>46225</v>
      </c>
      <c r="H51" s="20">
        <v>46230</v>
      </c>
      <c r="I51" s="17" t="s">
        <v>7</v>
      </c>
      <c r="J51" s="23">
        <v>1</v>
      </c>
      <c r="K51" s="19" t="s">
        <v>149</v>
      </c>
      <c r="L51" s="19"/>
    </row>
    <row r="52" ht="15.75" customHeight="1" spans="1:12" x14ac:dyDescent="0.25">
      <c r="A52" s="17">
        <v>48</v>
      </c>
      <c r="B52" s="19" t="s">
        <v>28</v>
      </c>
      <c r="C52" s="19" t="s">
        <v>139</v>
      </c>
      <c r="D52" s="19" t="s">
        <v>162</v>
      </c>
      <c r="E52" s="19" t="s">
        <v>150</v>
      </c>
      <c r="F52" s="17" t="s">
        <v>16</v>
      </c>
      <c r="G52" s="20">
        <v>46227</v>
      </c>
      <c r="H52" s="20">
        <v>46231</v>
      </c>
      <c r="I52" s="17" t="s">
        <v>9</v>
      </c>
      <c r="J52" s="23">
        <v>0.5</v>
      </c>
      <c r="K52" s="19" t="s">
        <v>151</v>
      </c>
      <c r="L52" s="19" t="s">
        <v>163</v>
      </c>
    </row>
    <row r="53" ht="15.75" customHeight="1" spans="1:12" x14ac:dyDescent="0.25">
      <c r="A53" s="17">
        <v>49</v>
      </c>
      <c r="B53" s="19" t="s">
        <v>28</v>
      </c>
      <c r="C53" s="19" t="s">
        <v>139</v>
      </c>
      <c r="D53" s="19" t="s">
        <v>162</v>
      </c>
      <c r="E53" s="19" t="s">
        <v>153</v>
      </c>
      <c r="F53" s="17" t="s">
        <v>17</v>
      </c>
      <c r="G53" s="20">
        <v>46230</v>
      </c>
      <c r="H53" s="20">
        <v>46234</v>
      </c>
      <c r="I53" s="17" t="s">
        <v>10</v>
      </c>
      <c r="J53" s="23">
        <v>0</v>
      </c>
      <c r="K53" s="19" t="s">
        <v>154</v>
      </c>
      <c r="L53" s="19"/>
    </row>
    <row r="54" ht="15.75" customHeight="1" spans="1:12" x14ac:dyDescent="0.25">
      <c r="A54" s="17">
        <v>50</v>
      </c>
      <c r="B54" s="19" t="s">
        <v>28</v>
      </c>
      <c r="C54" s="19" t="s">
        <v>139</v>
      </c>
      <c r="D54" s="19" t="s">
        <v>164</v>
      </c>
      <c r="E54" s="19" t="s">
        <v>141</v>
      </c>
      <c r="F54" s="17" t="s">
        <v>17</v>
      </c>
      <c r="G54" s="20">
        <v>46223</v>
      </c>
      <c r="H54" s="20">
        <v>46227</v>
      </c>
      <c r="I54" s="17" t="s">
        <v>11</v>
      </c>
      <c r="J54" s="23">
        <v>0</v>
      </c>
      <c r="K54" s="19" t="s">
        <v>142</v>
      </c>
      <c r="L54" s="19" t="s">
        <v>143</v>
      </c>
    </row>
    <row r="55" ht="15.75" customHeight="1" spans="1:12" x14ac:dyDescent="0.25">
      <c r="A55" s="17">
        <v>51</v>
      </c>
      <c r="B55" s="19" t="s">
        <v>28</v>
      </c>
      <c r="C55" s="19" t="s">
        <v>139</v>
      </c>
      <c r="D55" s="19" t="s">
        <v>164</v>
      </c>
      <c r="E55" s="19" t="s">
        <v>144</v>
      </c>
      <c r="F55" s="17" t="s">
        <v>16</v>
      </c>
      <c r="G55" s="20">
        <v>46225</v>
      </c>
      <c r="H55" s="20">
        <v>46229</v>
      </c>
      <c r="I55" s="17" t="s">
        <v>7</v>
      </c>
      <c r="J55" s="23">
        <v>1</v>
      </c>
      <c r="K55" s="19" t="s">
        <v>145</v>
      </c>
      <c r="L55" s="19"/>
    </row>
    <row r="56" ht="15.75" customHeight="1" spans="1:12" x14ac:dyDescent="0.25">
      <c r="A56" s="17">
        <v>52</v>
      </c>
      <c r="B56" s="19" t="s">
        <v>28</v>
      </c>
      <c r="C56" s="19" t="s">
        <v>139</v>
      </c>
      <c r="D56" s="19" t="s">
        <v>164</v>
      </c>
      <c r="E56" s="19" t="s">
        <v>146</v>
      </c>
      <c r="F56" s="17" t="s">
        <v>16</v>
      </c>
      <c r="G56" s="20">
        <v>46228</v>
      </c>
      <c r="H56" s="20">
        <v>46235</v>
      </c>
      <c r="I56" s="17" t="s">
        <v>7</v>
      </c>
      <c r="J56" s="23">
        <v>1</v>
      </c>
      <c r="K56" s="19" t="s">
        <v>147</v>
      </c>
      <c r="L56" s="19"/>
    </row>
    <row r="57" ht="15.75" customHeight="1" spans="1:12" x14ac:dyDescent="0.25">
      <c r="A57" s="17">
        <v>53</v>
      </c>
      <c r="B57" s="19" t="s">
        <v>28</v>
      </c>
      <c r="C57" s="19" t="s">
        <v>139</v>
      </c>
      <c r="D57" s="19" t="s">
        <v>164</v>
      </c>
      <c r="E57" s="19" t="s">
        <v>148</v>
      </c>
      <c r="F57" s="17" t="s">
        <v>16</v>
      </c>
      <c r="G57" s="20">
        <v>46232</v>
      </c>
      <c r="H57" s="20">
        <v>46237</v>
      </c>
      <c r="I57" s="17" t="s">
        <v>7</v>
      </c>
      <c r="J57" s="23">
        <v>1</v>
      </c>
      <c r="K57" s="19" t="s">
        <v>149</v>
      </c>
      <c r="L57" s="19"/>
    </row>
    <row r="58" ht="15.75" customHeight="1" spans="1:12" x14ac:dyDescent="0.25">
      <c r="A58" s="17">
        <v>54</v>
      </c>
      <c r="B58" s="19" t="s">
        <v>28</v>
      </c>
      <c r="C58" s="19" t="s">
        <v>139</v>
      </c>
      <c r="D58" s="19" t="s">
        <v>164</v>
      </c>
      <c r="E58" s="19" t="s">
        <v>150</v>
      </c>
      <c r="F58" s="17" t="s">
        <v>16</v>
      </c>
      <c r="G58" s="20">
        <v>46234</v>
      </c>
      <c r="H58" s="20">
        <v>46238</v>
      </c>
      <c r="I58" s="17" t="s">
        <v>9</v>
      </c>
      <c r="J58" s="23">
        <v>0.5</v>
      </c>
      <c r="K58" s="19" t="s">
        <v>151</v>
      </c>
      <c r="L58" s="19" t="s">
        <v>163</v>
      </c>
    </row>
    <row r="59" ht="15.75" customHeight="1" spans="1:12" x14ac:dyDescent="0.25">
      <c r="A59" s="17">
        <v>55</v>
      </c>
      <c r="B59" s="19" t="s">
        <v>28</v>
      </c>
      <c r="C59" s="19" t="s">
        <v>139</v>
      </c>
      <c r="D59" s="19" t="s">
        <v>164</v>
      </c>
      <c r="E59" s="19" t="s">
        <v>153</v>
      </c>
      <c r="F59" s="17" t="s">
        <v>17</v>
      </c>
      <c r="G59" s="20">
        <v>46237</v>
      </c>
      <c r="H59" s="20">
        <v>46241</v>
      </c>
      <c r="I59" s="17" t="s">
        <v>10</v>
      </c>
      <c r="J59" s="23">
        <v>0</v>
      </c>
      <c r="K59" s="19" t="s">
        <v>154</v>
      </c>
      <c r="L59" s="19"/>
    </row>
    <row r="60" ht="15.75" customHeight="1" spans="1:12" x14ac:dyDescent="0.25">
      <c r="A60" s="17">
        <v>56</v>
      </c>
      <c r="B60" s="19" t="s">
        <v>28</v>
      </c>
      <c r="C60" s="19" t="s">
        <v>139</v>
      </c>
      <c r="D60" s="19" t="s">
        <v>165</v>
      </c>
      <c r="E60" s="19" t="s">
        <v>141</v>
      </c>
      <c r="F60" s="17" t="s">
        <v>17</v>
      </c>
      <c r="G60" s="20">
        <v>46230</v>
      </c>
      <c r="H60" s="20">
        <v>46234</v>
      </c>
      <c r="I60" s="17" t="s">
        <v>11</v>
      </c>
      <c r="J60" s="23">
        <v>0</v>
      </c>
      <c r="K60" s="19" t="s">
        <v>142</v>
      </c>
      <c r="L60" s="19" t="s">
        <v>143</v>
      </c>
    </row>
    <row r="61" ht="15.75" customHeight="1" spans="1:12" x14ac:dyDescent="0.25">
      <c r="A61" s="17">
        <v>57</v>
      </c>
      <c r="B61" s="19" t="s">
        <v>28</v>
      </c>
      <c r="C61" s="19" t="s">
        <v>139</v>
      </c>
      <c r="D61" s="19" t="s">
        <v>165</v>
      </c>
      <c r="E61" s="19" t="s">
        <v>144</v>
      </c>
      <c r="F61" s="17" t="s">
        <v>16</v>
      </c>
      <c r="G61" s="20">
        <v>46232</v>
      </c>
      <c r="H61" s="20">
        <v>46236</v>
      </c>
      <c r="I61" s="17" t="s">
        <v>7</v>
      </c>
      <c r="J61" s="23">
        <v>1</v>
      </c>
      <c r="K61" s="19" t="s">
        <v>145</v>
      </c>
      <c r="L61" s="19"/>
    </row>
    <row r="62" ht="15.75" customHeight="1" spans="1:12" x14ac:dyDescent="0.25">
      <c r="A62" s="17">
        <v>58</v>
      </c>
      <c r="B62" s="19" t="s">
        <v>28</v>
      </c>
      <c r="C62" s="19" t="s">
        <v>139</v>
      </c>
      <c r="D62" s="19" t="s">
        <v>165</v>
      </c>
      <c r="E62" s="19" t="s">
        <v>146</v>
      </c>
      <c r="F62" s="17" t="s">
        <v>16</v>
      </c>
      <c r="G62" s="20">
        <v>46235</v>
      </c>
      <c r="H62" s="20">
        <v>46242</v>
      </c>
      <c r="I62" s="17" t="s">
        <v>7</v>
      </c>
      <c r="J62" s="23">
        <v>1</v>
      </c>
      <c r="K62" s="19" t="s">
        <v>147</v>
      </c>
      <c r="L62" s="19"/>
    </row>
    <row r="63" ht="15.75" customHeight="1" spans="1:12" x14ac:dyDescent="0.25">
      <c r="A63" s="17">
        <v>59</v>
      </c>
      <c r="B63" s="19" t="s">
        <v>28</v>
      </c>
      <c r="C63" s="19" t="s">
        <v>139</v>
      </c>
      <c r="D63" s="19" t="s">
        <v>165</v>
      </c>
      <c r="E63" s="19" t="s">
        <v>148</v>
      </c>
      <c r="F63" s="17" t="s">
        <v>16</v>
      </c>
      <c r="G63" s="20">
        <v>46239</v>
      </c>
      <c r="H63" s="20">
        <v>46244</v>
      </c>
      <c r="I63" s="17" t="s">
        <v>7</v>
      </c>
      <c r="J63" s="23">
        <v>1</v>
      </c>
      <c r="K63" s="19" t="s">
        <v>149</v>
      </c>
      <c r="L63" s="19"/>
    </row>
    <row r="64" ht="15.75" customHeight="1" spans="1:12" x14ac:dyDescent="0.25">
      <c r="A64" s="17">
        <v>60</v>
      </c>
      <c r="B64" s="19" t="s">
        <v>28</v>
      </c>
      <c r="C64" s="19" t="s">
        <v>139</v>
      </c>
      <c r="D64" s="19" t="s">
        <v>165</v>
      </c>
      <c r="E64" s="19" t="s">
        <v>150</v>
      </c>
      <c r="F64" s="17" t="s">
        <v>16</v>
      </c>
      <c r="G64" s="20">
        <v>46241</v>
      </c>
      <c r="H64" s="20">
        <v>46245</v>
      </c>
      <c r="I64" s="17" t="s">
        <v>9</v>
      </c>
      <c r="J64" s="23">
        <v>0.5</v>
      </c>
      <c r="K64" s="19" t="s">
        <v>151</v>
      </c>
      <c r="L64" s="19" t="s">
        <v>163</v>
      </c>
    </row>
    <row r="65" ht="15.75" customHeight="1" spans="1:12" x14ac:dyDescent="0.25">
      <c r="A65" s="17">
        <v>61</v>
      </c>
      <c r="B65" s="19" t="s">
        <v>28</v>
      </c>
      <c r="C65" s="19" t="s">
        <v>139</v>
      </c>
      <c r="D65" s="19" t="s">
        <v>165</v>
      </c>
      <c r="E65" s="19" t="s">
        <v>153</v>
      </c>
      <c r="F65" s="17" t="s">
        <v>17</v>
      </c>
      <c r="G65" s="20">
        <v>46244</v>
      </c>
      <c r="H65" s="20">
        <v>46248</v>
      </c>
      <c r="I65" s="17" t="s">
        <v>10</v>
      </c>
      <c r="J65" s="23">
        <v>0</v>
      </c>
      <c r="K65" s="19" t="s">
        <v>154</v>
      </c>
      <c r="L65" s="19"/>
    </row>
    <row r="66" ht="15.75" customHeight="1" spans="1:12" x14ac:dyDescent="0.25">
      <c r="A66" s="17">
        <v>62</v>
      </c>
      <c r="B66" s="19" t="s">
        <v>28</v>
      </c>
      <c r="C66" s="19" t="s">
        <v>139</v>
      </c>
      <c r="D66" s="19" t="s">
        <v>166</v>
      </c>
      <c r="E66" s="19" t="s">
        <v>141</v>
      </c>
      <c r="F66" s="17" t="s">
        <v>17</v>
      </c>
      <c r="G66" s="20">
        <v>46230</v>
      </c>
      <c r="H66" s="20">
        <v>46234</v>
      </c>
      <c r="I66" s="17" t="s">
        <v>11</v>
      </c>
      <c r="J66" s="23">
        <v>0</v>
      </c>
      <c r="K66" s="19" t="s">
        <v>142</v>
      </c>
      <c r="L66" s="19" t="s">
        <v>143</v>
      </c>
    </row>
    <row r="67" ht="15.75" customHeight="1" spans="1:12" x14ac:dyDescent="0.25">
      <c r="A67" s="17">
        <v>63</v>
      </c>
      <c r="B67" s="19" t="s">
        <v>28</v>
      </c>
      <c r="C67" s="19" t="s">
        <v>139</v>
      </c>
      <c r="D67" s="19" t="s">
        <v>166</v>
      </c>
      <c r="E67" s="19" t="s">
        <v>144</v>
      </c>
      <c r="F67" s="17" t="s">
        <v>16</v>
      </c>
      <c r="G67" s="20">
        <v>46232</v>
      </c>
      <c r="H67" s="20">
        <v>46236</v>
      </c>
      <c r="I67" s="17" t="s">
        <v>7</v>
      </c>
      <c r="J67" s="23">
        <v>1</v>
      </c>
      <c r="K67" s="19" t="s">
        <v>145</v>
      </c>
      <c r="L67" s="19"/>
    </row>
    <row r="68" ht="15.75" customHeight="1" spans="1:12" x14ac:dyDescent="0.25">
      <c r="A68" s="17">
        <v>64</v>
      </c>
      <c r="B68" s="19" t="s">
        <v>28</v>
      </c>
      <c r="C68" s="19" t="s">
        <v>139</v>
      </c>
      <c r="D68" s="19" t="s">
        <v>166</v>
      </c>
      <c r="E68" s="19" t="s">
        <v>146</v>
      </c>
      <c r="F68" s="17" t="s">
        <v>16</v>
      </c>
      <c r="G68" s="20">
        <v>46235</v>
      </c>
      <c r="H68" s="20">
        <v>46242</v>
      </c>
      <c r="I68" s="17" t="s">
        <v>7</v>
      </c>
      <c r="J68" s="23">
        <v>1</v>
      </c>
      <c r="K68" s="19" t="s">
        <v>147</v>
      </c>
      <c r="L68" s="19"/>
    </row>
    <row r="69" ht="15.75" customHeight="1" spans="1:12" x14ac:dyDescent="0.25">
      <c r="A69" s="17">
        <v>65</v>
      </c>
      <c r="B69" s="19" t="s">
        <v>28</v>
      </c>
      <c r="C69" s="19" t="s">
        <v>139</v>
      </c>
      <c r="D69" s="19" t="s">
        <v>166</v>
      </c>
      <c r="E69" s="19" t="s">
        <v>148</v>
      </c>
      <c r="F69" s="17" t="s">
        <v>16</v>
      </c>
      <c r="G69" s="20">
        <v>46239</v>
      </c>
      <c r="H69" s="20">
        <v>46244</v>
      </c>
      <c r="I69" s="17" t="s">
        <v>7</v>
      </c>
      <c r="J69" s="23">
        <v>1</v>
      </c>
      <c r="K69" s="19" t="s">
        <v>149</v>
      </c>
      <c r="L69" s="19"/>
    </row>
    <row r="70" ht="15.75" customHeight="1" spans="1:12" x14ac:dyDescent="0.25">
      <c r="A70" s="17">
        <v>66</v>
      </c>
      <c r="B70" s="19" t="s">
        <v>28</v>
      </c>
      <c r="C70" s="19" t="s">
        <v>139</v>
      </c>
      <c r="D70" s="19" t="s">
        <v>166</v>
      </c>
      <c r="E70" s="19" t="s">
        <v>150</v>
      </c>
      <c r="F70" s="17" t="s">
        <v>16</v>
      </c>
      <c r="G70" s="20">
        <v>46241</v>
      </c>
      <c r="H70" s="20">
        <v>46245</v>
      </c>
      <c r="I70" s="17" t="s">
        <v>9</v>
      </c>
      <c r="J70" s="23">
        <v>0.5</v>
      </c>
      <c r="K70" s="19" t="s">
        <v>151</v>
      </c>
      <c r="L70" s="19" t="s">
        <v>163</v>
      </c>
    </row>
    <row r="71" ht="15.75" customHeight="1" spans="1:12" x14ac:dyDescent="0.25">
      <c r="A71" s="17">
        <v>67</v>
      </c>
      <c r="B71" s="19" t="s">
        <v>28</v>
      </c>
      <c r="C71" s="19" t="s">
        <v>139</v>
      </c>
      <c r="D71" s="19" t="s">
        <v>166</v>
      </c>
      <c r="E71" s="19" t="s">
        <v>153</v>
      </c>
      <c r="F71" s="17" t="s">
        <v>17</v>
      </c>
      <c r="G71" s="20">
        <v>46244</v>
      </c>
      <c r="H71" s="20">
        <v>46248</v>
      </c>
      <c r="I71" s="17" t="s">
        <v>10</v>
      </c>
      <c r="J71" s="23">
        <v>0</v>
      </c>
      <c r="K71" s="19" t="s">
        <v>154</v>
      </c>
      <c r="L71" s="19"/>
    </row>
    <row r="72" ht="15.75" customHeight="1" spans="1:12" x14ac:dyDescent="0.25">
      <c r="A72" s="17">
        <v>68</v>
      </c>
      <c r="B72" s="19" t="s">
        <v>28</v>
      </c>
      <c r="C72" s="19" t="s">
        <v>139</v>
      </c>
      <c r="D72" s="19" t="s">
        <v>167</v>
      </c>
      <c r="E72" s="19" t="s">
        <v>141</v>
      </c>
      <c r="F72" s="17" t="s">
        <v>17</v>
      </c>
      <c r="G72" s="20">
        <v>46237</v>
      </c>
      <c r="H72" s="20">
        <v>46241</v>
      </c>
      <c r="I72" s="17" t="s">
        <v>11</v>
      </c>
      <c r="J72" s="23">
        <v>0</v>
      </c>
      <c r="K72" s="19" t="s">
        <v>142</v>
      </c>
      <c r="L72" s="19" t="s">
        <v>143</v>
      </c>
    </row>
    <row r="73" ht="15.75" customHeight="1" spans="1:12" x14ac:dyDescent="0.25">
      <c r="A73" s="17">
        <v>69</v>
      </c>
      <c r="B73" s="19" t="s">
        <v>28</v>
      </c>
      <c r="C73" s="19" t="s">
        <v>139</v>
      </c>
      <c r="D73" s="19" t="s">
        <v>167</v>
      </c>
      <c r="E73" s="19" t="s">
        <v>144</v>
      </c>
      <c r="F73" s="17" t="s">
        <v>16</v>
      </c>
      <c r="G73" s="20">
        <v>46239</v>
      </c>
      <c r="H73" s="20">
        <v>46243</v>
      </c>
      <c r="I73" s="17" t="s">
        <v>7</v>
      </c>
      <c r="J73" s="23">
        <v>1</v>
      </c>
      <c r="K73" s="19" t="s">
        <v>145</v>
      </c>
      <c r="L73" s="19"/>
    </row>
    <row r="74" ht="15.75" customHeight="1" spans="1:12" x14ac:dyDescent="0.25">
      <c r="A74" s="17">
        <v>70</v>
      </c>
      <c r="B74" s="19" t="s">
        <v>28</v>
      </c>
      <c r="C74" s="19" t="s">
        <v>139</v>
      </c>
      <c r="D74" s="19" t="s">
        <v>167</v>
      </c>
      <c r="E74" s="19" t="s">
        <v>146</v>
      </c>
      <c r="F74" s="17" t="s">
        <v>16</v>
      </c>
      <c r="G74" s="20">
        <v>46242</v>
      </c>
      <c r="H74" s="20">
        <v>46249</v>
      </c>
      <c r="I74" s="17" t="s">
        <v>7</v>
      </c>
      <c r="J74" s="23">
        <v>1</v>
      </c>
      <c r="K74" s="19" t="s">
        <v>147</v>
      </c>
      <c r="L74" s="19"/>
    </row>
    <row r="75" ht="15.75" customHeight="1" spans="1:12" x14ac:dyDescent="0.25">
      <c r="A75" s="17">
        <v>71</v>
      </c>
      <c r="B75" s="19" t="s">
        <v>28</v>
      </c>
      <c r="C75" s="19" t="s">
        <v>139</v>
      </c>
      <c r="D75" s="19" t="s">
        <v>167</v>
      </c>
      <c r="E75" s="19" t="s">
        <v>148</v>
      </c>
      <c r="F75" s="17" t="s">
        <v>16</v>
      </c>
      <c r="G75" s="20">
        <v>46246</v>
      </c>
      <c r="H75" s="20">
        <v>46251</v>
      </c>
      <c r="I75" s="17" t="s">
        <v>7</v>
      </c>
      <c r="J75" s="23">
        <v>1</v>
      </c>
      <c r="K75" s="19" t="s">
        <v>149</v>
      </c>
      <c r="L75" s="19"/>
    </row>
    <row r="76" ht="15.75" customHeight="1" spans="1:12" x14ac:dyDescent="0.25">
      <c r="A76" s="17">
        <v>72</v>
      </c>
      <c r="B76" s="19" t="s">
        <v>28</v>
      </c>
      <c r="C76" s="19" t="s">
        <v>139</v>
      </c>
      <c r="D76" s="19" t="s">
        <v>167</v>
      </c>
      <c r="E76" s="19" t="s">
        <v>150</v>
      </c>
      <c r="F76" s="17" t="s">
        <v>16</v>
      </c>
      <c r="G76" s="20">
        <v>46248</v>
      </c>
      <c r="H76" s="20">
        <v>46252</v>
      </c>
      <c r="I76" s="17" t="s">
        <v>9</v>
      </c>
      <c r="J76" s="23">
        <v>0.5</v>
      </c>
      <c r="K76" s="19" t="s">
        <v>151</v>
      </c>
      <c r="L76" s="19" t="s">
        <v>163</v>
      </c>
    </row>
    <row r="77" ht="15.75" customHeight="1" spans="1:12" x14ac:dyDescent="0.25">
      <c r="A77" s="17">
        <v>73</v>
      </c>
      <c r="B77" s="19" t="s">
        <v>28</v>
      </c>
      <c r="C77" s="19" t="s">
        <v>139</v>
      </c>
      <c r="D77" s="19" t="s">
        <v>167</v>
      </c>
      <c r="E77" s="19" t="s">
        <v>153</v>
      </c>
      <c r="F77" s="17" t="s">
        <v>17</v>
      </c>
      <c r="G77" s="20">
        <v>46251</v>
      </c>
      <c r="H77" s="20">
        <v>46255</v>
      </c>
      <c r="I77" s="17" t="s">
        <v>10</v>
      </c>
      <c r="J77" s="23">
        <v>0</v>
      </c>
      <c r="K77" s="19" t="s">
        <v>154</v>
      </c>
      <c r="L77" s="19"/>
    </row>
    <row r="78" ht="15.75" customHeight="1" spans="1:12" x14ac:dyDescent="0.25">
      <c r="A78" s="17">
        <v>74</v>
      </c>
      <c r="B78" s="19" t="s">
        <v>28</v>
      </c>
      <c r="C78" s="19" t="s">
        <v>139</v>
      </c>
      <c r="D78" s="19" t="s">
        <v>168</v>
      </c>
      <c r="E78" s="19" t="s">
        <v>141</v>
      </c>
      <c r="F78" s="17" t="s">
        <v>17</v>
      </c>
      <c r="G78" s="20">
        <v>46237</v>
      </c>
      <c r="H78" s="20">
        <v>46241</v>
      </c>
      <c r="I78" s="17" t="s">
        <v>11</v>
      </c>
      <c r="J78" s="23">
        <v>0</v>
      </c>
      <c r="K78" s="19" t="s">
        <v>142</v>
      </c>
      <c r="L78" s="19" t="s">
        <v>169</v>
      </c>
    </row>
    <row r="79" ht="15.75" customHeight="1" spans="1:12" x14ac:dyDescent="0.25">
      <c r="A79" s="17">
        <v>75</v>
      </c>
      <c r="B79" s="19" t="s">
        <v>28</v>
      </c>
      <c r="C79" s="19" t="s">
        <v>139</v>
      </c>
      <c r="D79" s="19" t="s">
        <v>168</v>
      </c>
      <c r="E79" s="19" t="s">
        <v>144</v>
      </c>
      <c r="F79" s="17" t="s">
        <v>16</v>
      </c>
      <c r="G79" s="20">
        <v>46239</v>
      </c>
      <c r="H79" s="20">
        <v>46243</v>
      </c>
      <c r="I79" s="17" t="s">
        <v>11</v>
      </c>
      <c r="J79" s="23">
        <v>0</v>
      </c>
      <c r="K79" s="19" t="s">
        <v>145</v>
      </c>
      <c r="L79" s="19" t="s">
        <v>169</v>
      </c>
    </row>
    <row r="80" ht="15.75" customHeight="1" spans="1:12" x14ac:dyDescent="0.25">
      <c r="A80" s="17">
        <v>76</v>
      </c>
      <c r="B80" s="19" t="s">
        <v>28</v>
      </c>
      <c r="C80" s="19" t="s">
        <v>139</v>
      </c>
      <c r="D80" s="19" t="s">
        <v>168</v>
      </c>
      <c r="E80" s="19" t="s">
        <v>160</v>
      </c>
      <c r="F80" s="17" t="s">
        <v>16</v>
      </c>
      <c r="G80" s="20">
        <v>46242</v>
      </c>
      <c r="H80" s="20">
        <v>46255</v>
      </c>
      <c r="I80" s="17" t="s">
        <v>11</v>
      </c>
      <c r="J80" s="23">
        <v>0</v>
      </c>
      <c r="K80" s="19" t="s">
        <v>161</v>
      </c>
      <c r="L80" s="19" t="s">
        <v>169</v>
      </c>
    </row>
    <row r="81" ht="15.75" customHeight="1" spans="1:12" x14ac:dyDescent="0.25">
      <c r="A81" s="17">
        <v>77</v>
      </c>
      <c r="B81" s="19" t="s">
        <v>28</v>
      </c>
      <c r="C81" s="19" t="s">
        <v>170</v>
      </c>
      <c r="D81" s="19" t="s">
        <v>171</v>
      </c>
      <c r="E81" s="19" t="s">
        <v>141</v>
      </c>
      <c r="F81" s="17" t="s">
        <v>17</v>
      </c>
      <c r="G81" s="20">
        <v>46237</v>
      </c>
      <c r="H81" s="20">
        <v>46241</v>
      </c>
      <c r="I81" s="17" t="s">
        <v>11</v>
      </c>
      <c r="J81" s="23">
        <v>0</v>
      </c>
      <c r="K81" s="19" t="s">
        <v>142</v>
      </c>
      <c r="L81" s="19" t="s">
        <v>143</v>
      </c>
    </row>
    <row r="82" ht="15.75" customHeight="1" spans="1:12" x14ac:dyDescent="0.25">
      <c r="A82" s="17">
        <v>78</v>
      </c>
      <c r="B82" s="19" t="s">
        <v>28</v>
      </c>
      <c r="C82" s="19" t="s">
        <v>170</v>
      </c>
      <c r="D82" s="19" t="s">
        <v>171</v>
      </c>
      <c r="E82" s="19" t="s">
        <v>144</v>
      </c>
      <c r="F82" s="17" t="s">
        <v>16</v>
      </c>
      <c r="G82" s="20">
        <v>46239</v>
      </c>
      <c r="H82" s="20">
        <v>46243</v>
      </c>
      <c r="I82" s="17" t="s">
        <v>7</v>
      </c>
      <c r="J82" s="23">
        <v>1</v>
      </c>
      <c r="K82" s="19" t="s">
        <v>145</v>
      </c>
      <c r="L82" s="19"/>
    </row>
    <row r="83" ht="15.75" customHeight="1" spans="1:12" x14ac:dyDescent="0.25">
      <c r="A83" s="17">
        <v>79</v>
      </c>
      <c r="B83" s="19" t="s">
        <v>28</v>
      </c>
      <c r="C83" s="19" t="s">
        <v>170</v>
      </c>
      <c r="D83" s="19" t="s">
        <v>171</v>
      </c>
      <c r="E83" s="19" t="s">
        <v>146</v>
      </c>
      <c r="F83" s="17" t="s">
        <v>16</v>
      </c>
      <c r="G83" s="20">
        <v>46242</v>
      </c>
      <c r="H83" s="20">
        <v>46249</v>
      </c>
      <c r="I83" s="17" t="s">
        <v>7</v>
      </c>
      <c r="J83" s="23">
        <v>1</v>
      </c>
      <c r="K83" s="19" t="s">
        <v>147</v>
      </c>
      <c r="L83" s="19"/>
    </row>
    <row r="84" ht="15.75" customHeight="1" spans="1:12" x14ac:dyDescent="0.25">
      <c r="A84" s="17">
        <v>80</v>
      </c>
      <c r="B84" s="19" t="s">
        <v>28</v>
      </c>
      <c r="C84" s="19" t="s">
        <v>170</v>
      </c>
      <c r="D84" s="19" t="s">
        <v>171</v>
      </c>
      <c r="E84" s="19" t="s">
        <v>148</v>
      </c>
      <c r="F84" s="17" t="s">
        <v>16</v>
      </c>
      <c r="G84" s="20">
        <v>46246</v>
      </c>
      <c r="H84" s="20">
        <v>46251</v>
      </c>
      <c r="I84" s="17" t="s">
        <v>7</v>
      </c>
      <c r="J84" s="23">
        <v>1</v>
      </c>
      <c r="K84" s="19" t="s">
        <v>149</v>
      </c>
      <c r="L84" s="19"/>
    </row>
    <row r="85" ht="15.75" customHeight="1" spans="1:12" x14ac:dyDescent="0.25">
      <c r="A85" s="17">
        <v>81</v>
      </c>
      <c r="B85" s="19" t="s">
        <v>28</v>
      </c>
      <c r="C85" s="19" t="s">
        <v>170</v>
      </c>
      <c r="D85" s="19" t="s">
        <v>171</v>
      </c>
      <c r="E85" s="19" t="s">
        <v>150</v>
      </c>
      <c r="F85" s="17" t="s">
        <v>16</v>
      </c>
      <c r="G85" s="20">
        <v>46248</v>
      </c>
      <c r="H85" s="20">
        <v>46252</v>
      </c>
      <c r="I85" s="17" t="s">
        <v>9</v>
      </c>
      <c r="J85" s="23">
        <v>0.5</v>
      </c>
      <c r="K85" s="19" t="s">
        <v>151</v>
      </c>
      <c r="L85" s="19" t="s">
        <v>152</v>
      </c>
    </row>
    <row r="86" ht="15.75" customHeight="1" spans="1:12" x14ac:dyDescent="0.25">
      <c r="A86" s="17">
        <v>82</v>
      </c>
      <c r="B86" s="19" t="s">
        <v>28</v>
      </c>
      <c r="C86" s="19" t="s">
        <v>170</v>
      </c>
      <c r="D86" s="19" t="s">
        <v>171</v>
      </c>
      <c r="E86" s="19" t="s">
        <v>153</v>
      </c>
      <c r="F86" s="17" t="s">
        <v>17</v>
      </c>
      <c r="G86" s="20">
        <v>46251</v>
      </c>
      <c r="H86" s="20">
        <v>46255</v>
      </c>
      <c r="I86" s="17" t="s">
        <v>10</v>
      </c>
      <c r="J86" s="23">
        <v>0</v>
      </c>
      <c r="K86" s="19" t="s">
        <v>154</v>
      </c>
      <c r="L86" s="19"/>
    </row>
    <row r="87" ht="15.75" customHeight="1" spans="1:12" x14ac:dyDescent="0.25">
      <c r="A87" s="17">
        <v>83</v>
      </c>
      <c r="B87" s="19" t="s">
        <v>28</v>
      </c>
      <c r="C87" s="19" t="s">
        <v>170</v>
      </c>
      <c r="D87" s="19" t="s">
        <v>172</v>
      </c>
      <c r="E87" s="19" t="s">
        <v>141</v>
      </c>
      <c r="F87" s="17" t="s">
        <v>17</v>
      </c>
      <c r="G87" s="20">
        <v>46237</v>
      </c>
      <c r="H87" s="20">
        <v>46241</v>
      </c>
      <c r="I87" s="17" t="s">
        <v>11</v>
      </c>
      <c r="J87" s="23">
        <v>0</v>
      </c>
      <c r="K87" s="19" t="s">
        <v>142</v>
      </c>
      <c r="L87" s="19" t="s">
        <v>173</v>
      </c>
    </row>
    <row r="88" ht="15.75" customHeight="1" spans="1:12" x14ac:dyDescent="0.25">
      <c r="A88" s="17">
        <v>84</v>
      </c>
      <c r="B88" s="19" t="s">
        <v>28</v>
      </c>
      <c r="C88" s="19" t="s">
        <v>170</v>
      </c>
      <c r="D88" s="19" t="s">
        <v>172</v>
      </c>
      <c r="E88" s="19" t="s">
        <v>144</v>
      </c>
      <c r="F88" s="17" t="s">
        <v>16</v>
      </c>
      <c r="G88" s="20">
        <v>46239</v>
      </c>
      <c r="H88" s="20">
        <v>46243</v>
      </c>
      <c r="I88" s="17" t="s">
        <v>7</v>
      </c>
      <c r="J88" s="23">
        <v>1</v>
      </c>
      <c r="K88" s="19" t="s">
        <v>145</v>
      </c>
      <c r="L88" s="19" t="s">
        <v>174</v>
      </c>
    </row>
    <row r="89" ht="15.75" customHeight="1" spans="1:12" x14ac:dyDescent="0.25">
      <c r="A89" s="17">
        <v>85</v>
      </c>
      <c r="B89" s="19" t="s">
        <v>28</v>
      </c>
      <c r="C89" s="19" t="s">
        <v>170</v>
      </c>
      <c r="D89" s="19" t="s">
        <v>172</v>
      </c>
      <c r="E89" s="19" t="s">
        <v>146</v>
      </c>
      <c r="F89" s="17" t="s">
        <v>16</v>
      </c>
      <c r="G89" s="20">
        <v>46242</v>
      </c>
      <c r="H89" s="20">
        <v>46256</v>
      </c>
      <c r="I89" s="17" t="s">
        <v>7</v>
      </c>
      <c r="J89" s="23">
        <v>1</v>
      </c>
      <c r="K89" s="19" t="s">
        <v>147</v>
      </c>
      <c r="L89" s="19" t="s">
        <v>174</v>
      </c>
    </row>
    <row r="90" ht="15.75" customHeight="1" spans="1:12" x14ac:dyDescent="0.25">
      <c r="A90" s="17">
        <v>86</v>
      </c>
      <c r="B90" s="19" t="s">
        <v>28</v>
      </c>
      <c r="C90" s="19" t="s">
        <v>170</v>
      </c>
      <c r="D90" s="19" t="s">
        <v>172</v>
      </c>
      <c r="E90" s="19" t="s">
        <v>148</v>
      </c>
      <c r="F90" s="17" t="s">
        <v>16</v>
      </c>
      <c r="G90" s="20">
        <v>46253</v>
      </c>
      <c r="H90" s="20">
        <v>46258</v>
      </c>
      <c r="I90" s="17" t="s">
        <v>7</v>
      </c>
      <c r="J90" s="23">
        <v>1</v>
      </c>
      <c r="K90" s="19" t="s">
        <v>149</v>
      </c>
      <c r="L90" s="19" t="s">
        <v>174</v>
      </c>
    </row>
    <row r="91" ht="15.75" customHeight="1" spans="1:12" x14ac:dyDescent="0.25">
      <c r="A91" s="17">
        <v>87</v>
      </c>
      <c r="B91" s="19" t="s">
        <v>28</v>
      </c>
      <c r="C91" s="19" t="s">
        <v>170</v>
      </c>
      <c r="D91" s="19" t="s">
        <v>172</v>
      </c>
      <c r="E91" s="19" t="s">
        <v>150</v>
      </c>
      <c r="F91" s="17" t="s">
        <v>16</v>
      </c>
      <c r="G91" s="20">
        <v>46255</v>
      </c>
      <c r="H91" s="20">
        <v>46259</v>
      </c>
      <c r="I91" s="17" t="s">
        <v>9</v>
      </c>
      <c r="J91" s="23">
        <v>0.5</v>
      </c>
      <c r="K91" s="19" t="s">
        <v>151</v>
      </c>
      <c r="L91" s="19" t="s">
        <v>175</v>
      </c>
    </row>
    <row r="92" ht="15.75" customHeight="1" spans="1:12" x14ac:dyDescent="0.25">
      <c r="A92" s="17">
        <v>88</v>
      </c>
      <c r="B92" s="19" t="s">
        <v>28</v>
      </c>
      <c r="C92" s="19" t="s">
        <v>170</v>
      </c>
      <c r="D92" s="19" t="s">
        <v>172</v>
      </c>
      <c r="E92" s="19" t="s">
        <v>153</v>
      </c>
      <c r="F92" s="17" t="s">
        <v>17</v>
      </c>
      <c r="G92" s="20">
        <v>46258</v>
      </c>
      <c r="H92" s="20">
        <v>46262</v>
      </c>
      <c r="I92" s="17" t="s">
        <v>10</v>
      </c>
      <c r="J92" s="23">
        <v>0</v>
      </c>
      <c r="K92" s="19" t="s">
        <v>154</v>
      </c>
      <c r="L92" s="19" t="s">
        <v>174</v>
      </c>
    </row>
    <row r="93" ht="15.75" customHeight="1" spans="1:12" x14ac:dyDescent="0.25">
      <c r="A93" s="17">
        <v>89</v>
      </c>
      <c r="B93" s="19" t="s">
        <v>28</v>
      </c>
      <c r="C93" s="19" t="s">
        <v>176</v>
      </c>
      <c r="D93" s="19" t="s">
        <v>177</v>
      </c>
      <c r="E93" s="19" t="s">
        <v>141</v>
      </c>
      <c r="F93" s="17" t="s">
        <v>17</v>
      </c>
      <c r="G93" s="20">
        <v>46244</v>
      </c>
      <c r="H93" s="20">
        <v>46248</v>
      </c>
      <c r="I93" s="17" t="s">
        <v>11</v>
      </c>
      <c r="J93" s="23">
        <v>0</v>
      </c>
      <c r="K93" s="19" t="s">
        <v>142</v>
      </c>
      <c r="L93" s="19" t="s">
        <v>143</v>
      </c>
    </row>
    <row r="94" ht="15.75" customHeight="1" spans="1:12" x14ac:dyDescent="0.25">
      <c r="A94" s="17">
        <v>90</v>
      </c>
      <c r="B94" s="19" t="s">
        <v>28</v>
      </c>
      <c r="C94" s="19" t="s">
        <v>176</v>
      </c>
      <c r="D94" s="19" t="s">
        <v>177</v>
      </c>
      <c r="E94" s="19" t="s">
        <v>144</v>
      </c>
      <c r="F94" s="17" t="s">
        <v>16</v>
      </c>
      <c r="G94" s="20">
        <v>46246</v>
      </c>
      <c r="H94" s="20">
        <v>46250</v>
      </c>
      <c r="I94" s="17" t="s">
        <v>7</v>
      </c>
      <c r="J94" s="23">
        <v>1</v>
      </c>
      <c r="K94" s="19" t="s">
        <v>145</v>
      </c>
      <c r="L94" s="19"/>
    </row>
    <row r="95" ht="15.75" customHeight="1" spans="1:12" x14ac:dyDescent="0.25">
      <c r="A95" s="17">
        <v>91</v>
      </c>
      <c r="B95" s="19" t="s">
        <v>28</v>
      </c>
      <c r="C95" s="19" t="s">
        <v>176</v>
      </c>
      <c r="D95" s="19" t="s">
        <v>177</v>
      </c>
      <c r="E95" s="19" t="s">
        <v>146</v>
      </c>
      <c r="F95" s="17" t="s">
        <v>16</v>
      </c>
      <c r="G95" s="20">
        <v>46249</v>
      </c>
      <c r="H95" s="20">
        <v>46256</v>
      </c>
      <c r="I95" s="17" t="s">
        <v>7</v>
      </c>
      <c r="J95" s="23">
        <v>1</v>
      </c>
      <c r="K95" s="19" t="s">
        <v>147</v>
      </c>
      <c r="L95" s="19"/>
    </row>
    <row r="96" ht="15.75" customHeight="1" spans="1:12" x14ac:dyDescent="0.25">
      <c r="A96" s="17">
        <v>92</v>
      </c>
      <c r="B96" s="19" t="s">
        <v>28</v>
      </c>
      <c r="C96" s="19" t="s">
        <v>176</v>
      </c>
      <c r="D96" s="19" t="s">
        <v>177</v>
      </c>
      <c r="E96" s="19" t="s">
        <v>148</v>
      </c>
      <c r="F96" s="17" t="s">
        <v>16</v>
      </c>
      <c r="G96" s="20">
        <v>46253</v>
      </c>
      <c r="H96" s="20">
        <v>46258</v>
      </c>
      <c r="I96" s="17" t="s">
        <v>7</v>
      </c>
      <c r="J96" s="23">
        <v>1</v>
      </c>
      <c r="K96" s="19" t="s">
        <v>149</v>
      </c>
      <c r="L96" s="19" t="s">
        <v>178</v>
      </c>
    </row>
    <row r="97" ht="15.75" customHeight="1" spans="1:12" x14ac:dyDescent="0.25">
      <c r="A97" s="17">
        <v>93</v>
      </c>
      <c r="B97" s="19" t="s">
        <v>28</v>
      </c>
      <c r="C97" s="19" t="s">
        <v>176</v>
      </c>
      <c r="D97" s="19" t="s">
        <v>177</v>
      </c>
      <c r="E97" s="19" t="s">
        <v>150</v>
      </c>
      <c r="F97" s="17" t="s">
        <v>16</v>
      </c>
      <c r="G97" s="20">
        <v>46255</v>
      </c>
      <c r="H97" s="20">
        <v>46259</v>
      </c>
      <c r="I97" s="17" t="s">
        <v>9</v>
      </c>
      <c r="J97" s="23">
        <v>0.5</v>
      </c>
      <c r="K97" s="19" t="s">
        <v>151</v>
      </c>
      <c r="L97" s="19" t="s">
        <v>152</v>
      </c>
    </row>
    <row r="98" ht="15.75" customHeight="1" spans="1:12" x14ac:dyDescent="0.25">
      <c r="A98" s="17">
        <v>94</v>
      </c>
      <c r="B98" s="19" t="s">
        <v>28</v>
      </c>
      <c r="C98" s="19" t="s">
        <v>176</v>
      </c>
      <c r="D98" s="19" t="s">
        <v>177</v>
      </c>
      <c r="E98" s="19" t="s">
        <v>153</v>
      </c>
      <c r="F98" s="17" t="s">
        <v>17</v>
      </c>
      <c r="G98" s="20">
        <v>46258</v>
      </c>
      <c r="H98" s="20">
        <v>46262</v>
      </c>
      <c r="I98" s="17" t="s">
        <v>10</v>
      </c>
      <c r="J98" s="23">
        <v>0</v>
      </c>
      <c r="K98" s="19" t="s">
        <v>154</v>
      </c>
      <c r="L98" s="19"/>
    </row>
    <row r="99" ht="15.75" customHeight="1" spans="1:12" x14ac:dyDescent="0.25">
      <c r="A99" s="17">
        <v>95</v>
      </c>
      <c r="B99" s="19" t="s">
        <v>28</v>
      </c>
      <c r="C99" s="19" t="s">
        <v>179</v>
      </c>
      <c r="D99" s="19" t="s">
        <v>180</v>
      </c>
      <c r="E99" s="19" t="s">
        <v>141</v>
      </c>
      <c r="F99" s="17" t="s">
        <v>17</v>
      </c>
      <c r="G99" s="20">
        <v>46251</v>
      </c>
      <c r="H99" s="20">
        <v>46255</v>
      </c>
      <c r="I99" s="17" t="s">
        <v>11</v>
      </c>
      <c r="J99" s="23">
        <v>0</v>
      </c>
      <c r="K99" s="19" t="s">
        <v>142</v>
      </c>
      <c r="L99" s="19" t="s">
        <v>143</v>
      </c>
    </row>
    <row r="100" ht="15.75" customHeight="1" spans="1:12" x14ac:dyDescent="0.25">
      <c r="A100" s="17">
        <v>96</v>
      </c>
      <c r="B100" s="19" t="s">
        <v>28</v>
      </c>
      <c r="C100" s="19" t="s">
        <v>179</v>
      </c>
      <c r="D100" s="19" t="s">
        <v>180</v>
      </c>
      <c r="E100" s="19" t="s">
        <v>144</v>
      </c>
      <c r="F100" s="17" t="s">
        <v>16</v>
      </c>
      <c r="G100" s="20">
        <v>46253</v>
      </c>
      <c r="H100" s="20">
        <v>46257</v>
      </c>
      <c r="I100" s="17" t="s">
        <v>7</v>
      </c>
      <c r="J100" s="23">
        <v>1</v>
      </c>
      <c r="K100" s="19" t="s">
        <v>145</v>
      </c>
      <c r="L100" s="19"/>
    </row>
    <row r="101" ht="15.75" customHeight="1" spans="1:12" x14ac:dyDescent="0.25">
      <c r="A101" s="17">
        <v>97</v>
      </c>
      <c r="B101" s="19" t="s">
        <v>28</v>
      </c>
      <c r="C101" s="19" t="s">
        <v>179</v>
      </c>
      <c r="D101" s="19" t="s">
        <v>180</v>
      </c>
      <c r="E101" s="19" t="s">
        <v>146</v>
      </c>
      <c r="F101" s="17" t="s">
        <v>16</v>
      </c>
      <c r="G101" s="20">
        <v>46256</v>
      </c>
      <c r="H101" s="20">
        <v>46260</v>
      </c>
      <c r="I101" s="17" t="s">
        <v>7</v>
      </c>
      <c r="J101" s="23">
        <v>1</v>
      </c>
      <c r="K101" s="19" t="s">
        <v>147</v>
      </c>
      <c r="L101" s="19"/>
    </row>
    <row r="102" ht="15.75" customHeight="1" spans="1:12" x14ac:dyDescent="0.25">
      <c r="A102" s="17">
        <v>98</v>
      </c>
      <c r="B102" s="19" t="s">
        <v>28</v>
      </c>
      <c r="C102" s="19" t="s">
        <v>179</v>
      </c>
      <c r="D102" s="19" t="s">
        <v>180</v>
      </c>
      <c r="E102" s="19" t="s">
        <v>148</v>
      </c>
      <c r="F102" s="17" t="s">
        <v>16</v>
      </c>
      <c r="G102" s="20">
        <v>46257</v>
      </c>
      <c r="H102" s="20">
        <v>46262</v>
      </c>
      <c r="I102" s="17" t="s">
        <v>7</v>
      </c>
      <c r="J102" s="23">
        <v>1</v>
      </c>
      <c r="K102" s="19" t="s">
        <v>149</v>
      </c>
      <c r="L102" s="19" t="s">
        <v>181</v>
      </c>
    </row>
    <row r="103" ht="15.75" customHeight="1" spans="1:12" x14ac:dyDescent="0.25">
      <c r="A103" s="17">
        <v>99</v>
      </c>
      <c r="B103" s="19" t="s">
        <v>28</v>
      </c>
      <c r="C103" s="19" t="s">
        <v>179</v>
      </c>
      <c r="D103" s="19" t="s">
        <v>180</v>
      </c>
      <c r="E103" s="19" t="s">
        <v>150</v>
      </c>
      <c r="F103" s="17" t="s">
        <v>16</v>
      </c>
      <c r="G103" s="20">
        <v>46259</v>
      </c>
      <c r="H103" s="20">
        <v>46263</v>
      </c>
      <c r="I103" s="17" t="s">
        <v>7</v>
      </c>
      <c r="J103" s="23">
        <v>1</v>
      </c>
      <c r="K103" s="19" t="s">
        <v>151</v>
      </c>
      <c r="L103" s="19" t="s">
        <v>182</v>
      </c>
    </row>
    <row r="104" ht="15.75" customHeight="1" spans="1:12" x14ac:dyDescent="0.25">
      <c r="A104" s="17">
        <v>100</v>
      </c>
      <c r="B104" s="19" t="s">
        <v>28</v>
      </c>
      <c r="C104" s="19" t="s">
        <v>179</v>
      </c>
      <c r="D104" s="19" t="s">
        <v>180</v>
      </c>
      <c r="E104" s="19" t="s">
        <v>153</v>
      </c>
      <c r="F104" s="17" t="s">
        <v>17</v>
      </c>
      <c r="G104" s="20">
        <v>46262</v>
      </c>
      <c r="H104" s="20">
        <v>46266</v>
      </c>
      <c r="I104" s="17" t="s">
        <v>10</v>
      </c>
      <c r="J104" s="23">
        <v>0</v>
      </c>
      <c r="K104" s="19" t="s">
        <v>154</v>
      </c>
      <c r="L104" s="19"/>
    </row>
    <row r="105" ht="15.75" customHeight="1" spans="1:12" x14ac:dyDescent="0.25">
      <c r="A105" s="17">
        <v>101</v>
      </c>
      <c r="B105" s="19" t="s">
        <v>28</v>
      </c>
      <c r="C105" s="19" t="s">
        <v>183</v>
      </c>
      <c r="D105" s="19" t="s">
        <v>184</v>
      </c>
      <c r="E105" s="19" t="s">
        <v>185</v>
      </c>
      <c r="F105" s="17" t="s">
        <v>16</v>
      </c>
      <c r="G105" s="20">
        <v>46244</v>
      </c>
      <c r="H105" s="20">
        <v>46255</v>
      </c>
      <c r="I105" s="17" t="s">
        <v>7</v>
      </c>
      <c r="J105" s="23">
        <v>1</v>
      </c>
      <c r="K105" s="19" t="s">
        <v>186</v>
      </c>
      <c r="L105" s="19"/>
    </row>
    <row r="106" ht="15.75" customHeight="1" spans="1:12" x14ac:dyDescent="0.25">
      <c r="A106" s="17">
        <v>102</v>
      </c>
      <c r="B106" s="19" t="s">
        <v>28</v>
      </c>
      <c r="C106" s="19" t="s">
        <v>183</v>
      </c>
      <c r="D106" s="19" t="s">
        <v>187</v>
      </c>
      <c r="E106" s="19" t="s">
        <v>188</v>
      </c>
      <c r="F106" s="17" t="s">
        <v>16</v>
      </c>
      <c r="G106" s="20">
        <v>46244</v>
      </c>
      <c r="H106" s="20">
        <v>46258</v>
      </c>
      <c r="I106" s="17" t="s">
        <v>7</v>
      </c>
      <c r="J106" s="23">
        <v>1</v>
      </c>
      <c r="K106" s="19" t="s">
        <v>189</v>
      </c>
      <c r="L106" s="19"/>
    </row>
    <row r="107" ht="15.75" customHeight="1" spans="1:12" x14ac:dyDescent="0.25">
      <c r="A107" s="17">
        <v>103</v>
      </c>
      <c r="B107" s="19" t="s">
        <v>28</v>
      </c>
      <c r="C107" s="19" t="s">
        <v>183</v>
      </c>
      <c r="D107" s="19" t="s">
        <v>190</v>
      </c>
      <c r="E107" s="19" t="s">
        <v>191</v>
      </c>
      <c r="F107" s="17" t="s">
        <v>16</v>
      </c>
      <c r="G107" s="20">
        <v>46248</v>
      </c>
      <c r="H107" s="20">
        <v>46258</v>
      </c>
      <c r="I107" s="17" t="s">
        <v>7</v>
      </c>
      <c r="J107" s="23">
        <v>1</v>
      </c>
      <c r="K107" s="19" t="s">
        <v>192</v>
      </c>
      <c r="L107" s="19" t="s">
        <v>193</v>
      </c>
    </row>
    <row r="108" ht="15.75" customHeight="1" spans="1:12" x14ac:dyDescent="0.25">
      <c r="A108" s="17">
        <v>104</v>
      </c>
      <c r="B108" s="19" t="s">
        <v>28</v>
      </c>
      <c r="C108" s="19" t="s">
        <v>194</v>
      </c>
      <c r="D108" s="19" t="s">
        <v>195</v>
      </c>
      <c r="E108" s="19" t="s">
        <v>196</v>
      </c>
      <c r="F108" s="17" t="s">
        <v>16</v>
      </c>
      <c r="G108" s="20">
        <v>46237</v>
      </c>
      <c r="H108" s="20">
        <v>46255</v>
      </c>
      <c r="I108" s="17" t="s">
        <v>7</v>
      </c>
      <c r="J108" s="23">
        <v>1</v>
      </c>
      <c r="K108" s="19" t="s">
        <v>197</v>
      </c>
      <c r="L108" s="19" t="s">
        <v>198</v>
      </c>
    </row>
    <row r="109" ht="15.75" customHeight="1" spans="1:12" x14ac:dyDescent="0.25">
      <c r="A109" s="17">
        <v>105</v>
      </c>
      <c r="B109" s="19" t="s">
        <v>28</v>
      </c>
      <c r="C109" s="19" t="s">
        <v>194</v>
      </c>
      <c r="D109" s="19" t="s">
        <v>199</v>
      </c>
      <c r="E109" s="19" t="s">
        <v>200</v>
      </c>
      <c r="F109" s="17" t="s">
        <v>17</v>
      </c>
      <c r="G109" s="20">
        <v>46237</v>
      </c>
      <c r="H109" s="20">
        <v>46246</v>
      </c>
      <c r="I109" s="17" t="s">
        <v>11</v>
      </c>
      <c r="J109" s="23">
        <v>0</v>
      </c>
      <c r="K109" s="19" t="s">
        <v>201</v>
      </c>
      <c r="L109" s="19" t="s">
        <v>202</v>
      </c>
    </row>
    <row r="110" ht="15.75" customHeight="1" spans="1:12" x14ac:dyDescent="0.25">
      <c r="A110" s="17">
        <v>106</v>
      </c>
      <c r="B110" s="19" t="s">
        <v>28</v>
      </c>
      <c r="C110" s="19" t="s">
        <v>194</v>
      </c>
      <c r="D110" s="19" t="s">
        <v>203</v>
      </c>
      <c r="E110" s="19" t="s">
        <v>204</v>
      </c>
      <c r="F110" s="17" t="s">
        <v>16</v>
      </c>
      <c r="G110" s="20">
        <v>46244</v>
      </c>
      <c r="H110" s="20">
        <v>46262</v>
      </c>
      <c r="I110" s="17" t="s">
        <v>10</v>
      </c>
      <c r="J110" s="23">
        <v>0</v>
      </c>
      <c r="K110" s="19" t="s">
        <v>205</v>
      </c>
      <c r="L110" s="19"/>
    </row>
    <row r="111" ht="15.75" customHeight="1" spans="1:12" x14ac:dyDescent="0.25">
      <c r="A111" s="17">
        <v>107</v>
      </c>
      <c r="B111" s="19" t="s">
        <v>28</v>
      </c>
      <c r="C111" s="19" t="s">
        <v>194</v>
      </c>
      <c r="D111" s="19" t="s">
        <v>206</v>
      </c>
      <c r="E111" s="19" t="s">
        <v>207</v>
      </c>
      <c r="F111" s="17" t="s">
        <v>16</v>
      </c>
      <c r="G111" s="20">
        <v>46251</v>
      </c>
      <c r="H111" s="20">
        <v>46262</v>
      </c>
      <c r="I111" s="17" t="s">
        <v>10</v>
      </c>
      <c r="J111" s="23">
        <v>0</v>
      </c>
      <c r="K111" s="19" t="s">
        <v>208</v>
      </c>
      <c r="L111" s="19"/>
    </row>
    <row r="112" ht="15.75" customHeight="1" spans="1:12" x14ac:dyDescent="0.25">
      <c r="A112" s="17">
        <v>108</v>
      </c>
      <c r="B112" s="19" t="s">
        <v>28</v>
      </c>
      <c r="C112" s="19" t="s">
        <v>209</v>
      </c>
      <c r="D112" s="19" t="s">
        <v>210</v>
      </c>
      <c r="E112" s="19" t="s">
        <v>211</v>
      </c>
      <c r="F112" s="17" t="s">
        <v>17</v>
      </c>
      <c r="G112" s="20">
        <v>46223</v>
      </c>
      <c r="H112" s="20">
        <v>46233</v>
      </c>
      <c r="I112" s="17" t="s">
        <v>11</v>
      </c>
      <c r="J112" s="23">
        <v>0</v>
      </c>
      <c r="K112" s="19" t="s">
        <v>212</v>
      </c>
      <c r="L112" s="19" t="s">
        <v>213</v>
      </c>
    </row>
    <row r="113" ht="15.75" customHeight="1" spans="1:12" x14ac:dyDescent="0.25">
      <c r="A113" s="17">
        <v>109</v>
      </c>
      <c r="B113" s="19" t="s">
        <v>28</v>
      </c>
      <c r="C113" s="19" t="s">
        <v>209</v>
      </c>
      <c r="D113" s="19" t="s">
        <v>210</v>
      </c>
      <c r="E113" s="19" t="s">
        <v>214</v>
      </c>
      <c r="F113" s="17" t="s">
        <v>16</v>
      </c>
      <c r="G113" s="20">
        <v>46230</v>
      </c>
      <c r="H113" s="20">
        <v>46241</v>
      </c>
      <c r="I113" s="17" t="s">
        <v>10</v>
      </c>
      <c r="J113" s="23">
        <v>0</v>
      </c>
      <c r="K113" s="19" t="s">
        <v>215</v>
      </c>
      <c r="L113" s="19"/>
    </row>
    <row r="114" ht="15.75" customHeight="1" spans="1:12" x14ac:dyDescent="0.25">
      <c r="A114" s="17">
        <v>110</v>
      </c>
      <c r="B114" s="19" t="s">
        <v>28</v>
      </c>
      <c r="C114" s="19" t="s">
        <v>209</v>
      </c>
      <c r="D114" s="19" t="s">
        <v>210</v>
      </c>
      <c r="E114" s="19" t="s">
        <v>216</v>
      </c>
      <c r="F114" s="17" t="s">
        <v>16</v>
      </c>
      <c r="G114" s="20">
        <v>46236</v>
      </c>
      <c r="H114" s="20">
        <v>46241</v>
      </c>
      <c r="I114" s="17" t="s">
        <v>10</v>
      </c>
      <c r="J114" s="23">
        <v>0</v>
      </c>
      <c r="K114" s="19" t="s">
        <v>217</v>
      </c>
      <c r="L114" s="19"/>
    </row>
    <row r="115" ht="15.75" customHeight="1" spans="1:12" x14ac:dyDescent="0.25">
      <c r="A115" s="17">
        <v>111</v>
      </c>
      <c r="B115" s="19" t="s">
        <v>28</v>
      </c>
      <c r="C115" s="19" t="s">
        <v>209</v>
      </c>
      <c r="D115" s="19" t="s">
        <v>218</v>
      </c>
      <c r="E115" s="19" t="s">
        <v>211</v>
      </c>
      <c r="F115" s="17" t="s">
        <v>17</v>
      </c>
      <c r="G115" s="20">
        <v>46230</v>
      </c>
      <c r="H115" s="20">
        <v>46240</v>
      </c>
      <c r="I115" s="17" t="s">
        <v>10</v>
      </c>
      <c r="J115" s="23">
        <v>0</v>
      </c>
      <c r="K115" s="19" t="s">
        <v>212</v>
      </c>
      <c r="L115" s="19"/>
    </row>
    <row r="116" ht="15.75" customHeight="1" spans="1:12" x14ac:dyDescent="0.25">
      <c r="A116" s="17">
        <v>112</v>
      </c>
      <c r="B116" s="19" t="s">
        <v>28</v>
      </c>
      <c r="C116" s="19" t="s">
        <v>209</v>
      </c>
      <c r="D116" s="19" t="s">
        <v>218</v>
      </c>
      <c r="E116" s="19" t="s">
        <v>219</v>
      </c>
      <c r="F116" s="17" t="s">
        <v>16</v>
      </c>
      <c r="G116" s="20">
        <v>46237</v>
      </c>
      <c r="H116" s="20">
        <v>46248</v>
      </c>
      <c r="I116" s="17" t="s">
        <v>10</v>
      </c>
      <c r="J116" s="23">
        <v>0</v>
      </c>
      <c r="K116" s="19" t="s">
        <v>215</v>
      </c>
      <c r="L116" s="19"/>
    </row>
    <row r="117" ht="15.75" customHeight="1" spans="1:12" x14ac:dyDescent="0.25">
      <c r="A117" s="17">
        <v>113</v>
      </c>
      <c r="B117" s="19" t="s">
        <v>28</v>
      </c>
      <c r="C117" s="19" t="s">
        <v>209</v>
      </c>
      <c r="D117" s="19" t="s">
        <v>218</v>
      </c>
      <c r="E117" s="19" t="s">
        <v>216</v>
      </c>
      <c r="F117" s="17" t="s">
        <v>16</v>
      </c>
      <c r="G117" s="20">
        <v>46243</v>
      </c>
      <c r="H117" s="20">
        <v>46248</v>
      </c>
      <c r="I117" s="17" t="s">
        <v>10</v>
      </c>
      <c r="J117" s="23">
        <v>0</v>
      </c>
      <c r="K117" s="19" t="s">
        <v>217</v>
      </c>
      <c r="L117" s="19"/>
    </row>
    <row r="118" ht="15.75" customHeight="1" spans="1:12" x14ac:dyDescent="0.25">
      <c r="A118" s="17">
        <v>114</v>
      </c>
      <c r="B118" s="19" t="s">
        <v>28</v>
      </c>
      <c r="C118" s="19" t="s">
        <v>209</v>
      </c>
      <c r="D118" s="19" t="s">
        <v>220</v>
      </c>
      <c r="E118" s="19" t="s">
        <v>211</v>
      </c>
      <c r="F118" s="17" t="s">
        <v>17</v>
      </c>
      <c r="G118" s="20">
        <v>46237</v>
      </c>
      <c r="H118" s="20">
        <v>46247</v>
      </c>
      <c r="I118" s="17" t="s">
        <v>11</v>
      </c>
      <c r="J118" s="23">
        <v>0</v>
      </c>
      <c r="K118" s="19" t="s">
        <v>212</v>
      </c>
      <c r="L118" s="19" t="s">
        <v>221</v>
      </c>
    </row>
    <row r="119" ht="15.75" customHeight="1" spans="1:12" x14ac:dyDescent="0.25">
      <c r="A119" s="17">
        <v>115</v>
      </c>
      <c r="B119" s="19" t="s">
        <v>28</v>
      </c>
      <c r="C119" s="19" t="s">
        <v>209</v>
      </c>
      <c r="D119" s="19" t="s">
        <v>220</v>
      </c>
      <c r="E119" s="19" t="s">
        <v>222</v>
      </c>
      <c r="F119" s="17" t="s">
        <v>16</v>
      </c>
      <c r="G119" s="20">
        <v>46244</v>
      </c>
      <c r="H119" s="20">
        <v>46255</v>
      </c>
      <c r="I119" s="17" t="s">
        <v>10</v>
      </c>
      <c r="J119" s="23">
        <v>0</v>
      </c>
      <c r="K119" s="19" t="s">
        <v>215</v>
      </c>
      <c r="L119" s="19"/>
    </row>
    <row r="120" ht="15.75" customHeight="1" spans="1:12" x14ac:dyDescent="0.25">
      <c r="A120" s="17">
        <v>116</v>
      </c>
      <c r="B120" s="19" t="s">
        <v>28</v>
      </c>
      <c r="C120" s="19" t="s">
        <v>209</v>
      </c>
      <c r="D120" s="19" t="s">
        <v>220</v>
      </c>
      <c r="E120" s="19" t="s">
        <v>216</v>
      </c>
      <c r="F120" s="17" t="s">
        <v>16</v>
      </c>
      <c r="G120" s="20">
        <v>46250</v>
      </c>
      <c r="H120" s="20">
        <v>46255</v>
      </c>
      <c r="I120" s="17" t="s">
        <v>10</v>
      </c>
      <c r="J120" s="23">
        <v>0</v>
      </c>
      <c r="K120" s="19" t="s">
        <v>217</v>
      </c>
      <c r="L120" s="19"/>
    </row>
    <row r="121" ht="15.75" customHeight="1" spans="1:12" x14ac:dyDescent="0.25">
      <c r="A121" s="17">
        <v>117</v>
      </c>
      <c r="B121" s="19" t="s">
        <v>28</v>
      </c>
      <c r="C121" s="19" t="s">
        <v>209</v>
      </c>
      <c r="D121" s="19" t="s">
        <v>223</v>
      </c>
      <c r="E121" s="19" t="s">
        <v>211</v>
      </c>
      <c r="F121" s="17" t="s">
        <v>17</v>
      </c>
      <c r="G121" s="20">
        <v>46237</v>
      </c>
      <c r="H121" s="20">
        <v>46247</v>
      </c>
      <c r="I121" s="17" t="s">
        <v>10</v>
      </c>
      <c r="J121" s="23">
        <v>0</v>
      </c>
      <c r="K121" s="19" t="s">
        <v>212</v>
      </c>
      <c r="L121" s="19"/>
    </row>
    <row r="122" ht="15.75" customHeight="1" spans="1:12" x14ac:dyDescent="0.25">
      <c r="A122" s="17">
        <v>118</v>
      </c>
      <c r="B122" s="19" t="s">
        <v>28</v>
      </c>
      <c r="C122" s="19" t="s">
        <v>209</v>
      </c>
      <c r="D122" s="19" t="s">
        <v>223</v>
      </c>
      <c r="E122" s="19" t="s">
        <v>224</v>
      </c>
      <c r="F122" s="17" t="s">
        <v>16</v>
      </c>
      <c r="G122" s="20">
        <v>46244</v>
      </c>
      <c r="H122" s="20">
        <v>46258</v>
      </c>
      <c r="I122" s="17" t="s">
        <v>10</v>
      </c>
      <c r="J122" s="23">
        <v>0</v>
      </c>
      <c r="K122" s="19" t="s">
        <v>215</v>
      </c>
      <c r="L122" s="19"/>
    </row>
    <row r="123" ht="15.75" customHeight="1" spans="1:12" x14ac:dyDescent="0.25">
      <c r="A123" s="17">
        <v>119</v>
      </c>
      <c r="B123" s="19" t="s">
        <v>28</v>
      </c>
      <c r="C123" s="19" t="s">
        <v>209</v>
      </c>
      <c r="D123" s="19" t="s">
        <v>223</v>
      </c>
      <c r="E123" s="19" t="s">
        <v>216</v>
      </c>
      <c r="F123" s="17" t="s">
        <v>16</v>
      </c>
      <c r="G123" s="20">
        <v>46253</v>
      </c>
      <c r="H123" s="20">
        <v>46258</v>
      </c>
      <c r="I123" s="17" t="s">
        <v>10</v>
      </c>
      <c r="J123" s="23">
        <v>0</v>
      </c>
      <c r="K123" s="19" t="s">
        <v>217</v>
      </c>
      <c r="L123" s="19"/>
    </row>
    <row r="124" ht="15.75" customHeight="1" spans="1:12" x14ac:dyDescent="0.25">
      <c r="A124" s="17">
        <v>120</v>
      </c>
      <c r="B124" s="19" t="s">
        <v>28</v>
      </c>
      <c r="C124" s="19" t="s">
        <v>209</v>
      </c>
      <c r="D124" s="19" t="s">
        <v>225</v>
      </c>
      <c r="E124" s="19" t="s">
        <v>211</v>
      </c>
      <c r="F124" s="17" t="s">
        <v>17</v>
      </c>
      <c r="G124" s="20">
        <v>46237</v>
      </c>
      <c r="H124" s="20">
        <v>46247</v>
      </c>
      <c r="I124" s="17" t="s">
        <v>10</v>
      </c>
      <c r="J124" s="23">
        <v>0</v>
      </c>
      <c r="K124" s="19" t="s">
        <v>212</v>
      </c>
      <c r="L124" s="19"/>
    </row>
    <row r="125" ht="15.75" customHeight="1" spans="1:12" x14ac:dyDescent="0.25">
      <c r="A125" s="17">
        <v>121</v>
      </c>
      <c r="B125" s="19" t="s">
        <v>28</v>
      </c>
      <c r="C125" s="19" t="s">
        <v>209</v>
      </c>
      <c r="D125" s="19" t="s">
        <v>225</v>
      </c>
      <c r="E125" s="19" t="s">
        <v>226</v>
      </c>
      <c r="F125" s="17" t="s">
        <v>16</v>
      </c>
      <c r="G125" s="20">
        <v>46244</v>
      </c>
      <c r="H125" s="20">
        <v>46258</v>
      </c>
      <c r="I125" s="17" t="s">
        <v>10</v>
      </c>
      <c r="J125" s="23">
        <v>0</v>
      </c>
      <c r="K125" s="19" t="s">
        <v>215</v>
      </c>
      <c r="L125" s="19"/>
    </row>
    <row r="126" ht="15.75" customHeight="1" spans="1:12" x14ac:dyDescent="0.25">
      <c r="A126" s="17">
        <v>122</v>
      </c>
      <c r="B126" s="19" t="s">
        <v>28</v>
      </c>
      <c r="C126" s="19" t="s">
        <v>209</v>
      </c>
      <c r="D126" s="19" t="s">
        <v>225</v>
      </c>
      <c r="E126" s="19" t="s">
        <v>216</v>
      </c>
      <c r="F126" s="17" t="s">
        <v>16</v>
      </c>
      <c r="G126" s="20">
        <v>46253</v>
      </c>
      <c r="H126" s="20">
        <v>46258</v>
      </c>
      <c r="I126" s="17" t="s">
        <v>10</v>
      </c>
      <c r="J126" s="23">
        <v>0</v>
      </c>
      <c r="K126" s="19" t="s">
        <v>217</v>
      </c>
      <c r="L126" s="19"/>
    </row>
    <row r="127" ht="15.75" customHeight="1" spans="1:12" x14ac:dyDescent="0.25">
      <c r="A127" s="17">
        <v>123</v>
      </c>
      <c r="B127" s="19" t="s">
        <v>28</v>
      </c>
      <c r="C127" s="19" t="s">
        <v>209</v>
      </c>
      <c r="D127" s="19" t="s">
        <v>227</v>
      </c>
      <c r="E127" s="19" t="s">
        <v>211</v>
      </c>
      <c r="F127" s="17" t="s">
        <v>17</v>
      </c>
      <c r="G127" s="20">
        <v>46244</v>
      </c>
      <c r="H127" s="20">
        <v>46254</v>
      </c>
      <c r="I127" s="17" t="s">
        <v>10</v>
      </c>
      <c r="J127" s="23">
        <v>0</v>
      </c>
      <c r="K127" s="19" t="s">
        <v>212</v>
      </c>
      <c r="L127" s="19"/>
    </row>
    <row r="128" ht="15.75" customHeight="1" spans="1:12" x14ac:dyDescent="0.25">
      <c r="A128" s="17">
        <v>124</v>
      </c>
      <c r="B128" s="19" t="s">
        <v>28</v>
      </c>
      <c r="C128" s="19" t="s">
        <v>209</v>
      </c>
      <c r="D128" s="19" t="s">
        <v>227</v>
      </c>
      <c r="E128" s="19" t="s">
        <v>228</v>
      </c>
      <c r="F128" s="17" t="s">
        <v>16</v>
      </c>
      <c r="G128" s="20">
        <v>46251</v>
      </c>
      <c r="H128" s="20">
        <v>46262</v>
      </c>
      <c r="I128" s="17" t="s">
        <v>10</v>
      </c>
      <c r="J128" s="23">
        <v>0</v>
      </c>
      <c r="K128" s="19" t="s">
        <v>215</v>
      </c>
      <c r="L128" s="19"/>
    </row>
    <row r="129" ht="15.75" customHeight="1" spans="1:12" x14ac:dyDescent="0.25">
      <c r="A129" s="17">
        <v>125</v>
      </c>
      <c r="B129" s="19" t="s">
        <v>28</v>
      </c>
      <c r="C129" s="19" t="s">
        <v>209</v>
      </c>
      <c r="D129" s="19" t="s">
        <v>227</v>
      </c>
      <c r="E129" s="19" t="s">
        <v>216</v>
      </c>
      <c r="F129" s="17" t="s">
        <v>16</v>
      </c>
      <c r="G129" s="20">
        <v>46257</v>
      </c>
      <c r="H129" s="20">
        <v>46262</v>
      </c>
      <c r="I129" s="17" t="s">
        <v>10</v>
      </c>
      <c r="J129" s="23">
        <v>0</v>
      </c>
      <c r="K129" s="19" t="s">
        <v>217</v>
      </c>
      <c r="L129" s="19"/>
    </row>
    <row r="130" ht="15.75" customHeight="1" spans="1:12" x14ac:dyDescent="0.25">
      <c r="A130" s="17">
        <v>126</v>
      </c>
      <c r="B130" s="19" t="s">
        <v>28</v>
      </c>
      <c r="C130" s="19" t="s">
        <v>209</v>
      </c>
      <c r="D130" s="19" t="s">
        <v>229</v>
      </c>
      <c r="E130" s="19" t="s">
        <v>211</v>
      </c>
      <c r="F130" s="17" t="s">
        <v>17</v>
      </c>
      <c r="G130" s="20">
        <v>46244</v>
      </c>
      <c r="H130" s="20">
        <v>46254</v>
      </c>
      <c r="I130" s="17" t="s">
        <v>10</v>
      </c>
      <c r="J130" s="23">
        <v>0</v>
      </c>
      <c r="K130" s="19" t="s">
        <v>212</v>
      </c>
      <c r="L130" s="19"/>
    </row>
    <row r="131" ht="15.75" customHeight="1" spans="1:12" x14ac:dyDescent="0.25">
      <c r="A131" s="17">
        <v>127</v>
      </c>
      <c r="B131" s="19" t="s">
        <v>28</v>
      </c>
      <c r="C131" s="19" t="s">
        <v>209</v>
      </c>
      <c r="D131" s="19" t="s">
        <v>229</v>
      </c>
      <c r="E131" s="19" t="s">
        <v>230</v>
      </c>
      <c r="F131" s="17" t="s">
        <v>16</v>
      </c>
      <c r="G131" s="20">
        <v>46251</v>
      </c>
      <c r="H131" s="20">
        <v>46262</v>
      </c>
      <c r="I131" s="17" t="s">
        <v>10</v>
      </c>
      <c r="J131" s="23">
        <v>0</v>
      </c>
      <c r="K131" s="19" t="s">
        <v>215</v>
      </c>
      <c r="L131" s="19"/>
    </row>
    <row r="132" ht="15.75" customHeight="1" spans="1:12" x14ac:dyDescent="0.25">
      <c r="A132" s="17">
        <v>128</v>
      </c>
      <c r="B132" s="19" t="s">
        <v>28</v>
      </c>
      <c r="C132" s="19" t="s">
        <v>209</v>
      </c>
      <c r="D132" s="19" t="s">
        <v>229</v>
      </c>
      <c r="E132" s="19" t="s">
        <v>216</v>
      </c>
      <c r="F132" s="17" t="s">
        <v>16</v>
      </c>
      <c r="G132" s="20">
        <v>46257</v>
      </c>
      <c r="H132" s="20">
        <v>46262</v>
      </c>
      <c r="I132" s="17" t="s">
        <v>10</v>
      </c>
      <c r="J132" s="23">
        <v>0</v>
      </c>
      <c r="K132" s="19" t="s">
        <v>217</v>
      </c>
      <c r="L132" s="19"/>
    </row>
    <row r="133" ht="15.75" customHeight="1" spans="1:12" x14ac:dyDescent="0.25">
      <c r="A133" s="17">
        <v>129</v>
      </c>
      <c r="B133" s="19" t="s">
        <v>28</v>
      </c>
      <c r="C133" s="19" t="s">
        <v>209</v>
      </c>
      <c r="D133" s="19" t="s">
        <v>231</v>
      </c>
      <c r="E133" s="19" t="s">
        <v>232</v>
      </c>
      <c r="F133" s="17" t="s">
        <v>16</v>
      </c>
      <c r="G133" s="20">
        <v>46255</v>
      </c>
      <c r="H133" s="20">
        <v>46262</v>
      </c>
      <c r="I133" s="17" t="s">
        <v>10</v>
      </c>
      <c r="J133" s="23">
        <v>0</v>
      </c>
      <c r="K133" s="19" t="s">
        <v>215</v>
      </c>
      <c r="L133" s="19"/>
    </row>
    <row r="134" ht="15.75" customHeight="1" spans="1:12" x14ac:dyDescent="0.25">
      <c r="A134" s="17">
        <v>130</v>
      </c>
      <c r="B134" s="19" t="s">
        <v>28</v>
      </c>
      <c r="C134" s="19" t="s">
        <v>209</v>
      </c>
      <c r="D134" s="19" t="s">
        <v>231</v>
      </c>
      <c r="E134" s="19" t="s">
        <v>216</v>
      </c>
      <c r="F134" s="17" t="s">
        <v>16</v>
      </c>
      <c r="G134" s="20">
        <v>46257</v>
      </c>
      <c r="H134" s="20">
        <v>46262</v>
      </c>
      <c r="I134" s="17" t="s">
        <v>10</v>
      </c>
      <c r="J134" s="23">
        <v>0</v>
      </c>
      <c r="K134" s="19" t="s">
        <v>217</v>
      </c>
      <c r="L134" s="19"/>
    </row>
    <row r="135" ht="15.75" customHeight="1" spans="1:12" x14ac:dyDescent="0.25">
      <c r="A135" s="17">
        <v>131</v>
      </c>
      <c r="B135" s="18" t="s">
        <v>30</v>
      </c>
      <c r="C135" s="19" t="s">
        <v>233</v>
      </c>
      <c r="D135" s="19" t="s">
        <v>234</v>
      </c>
      <c r="E135" s="19" t="s">
        <v>235</v>
      </c>
      <c r="F135" s="17" t="s">
        <v>16</v>
      </c>
      <c r="G135" s="20">
        <v>46266</v>
      </c>
      <c r="H135" s="20">
        <v>46270</v>
      </c>
      <c r="I135" s="17" t="s">
        <v>10</v>
      </c>
      <c r="J135" s="23">
        <v>0</v>
      </c>
      <c r="K135" s="19" t="s">
        <v>236</v>
      </c>
      <c r="L135" s="19"/>
    </row>
    <row r="136" ht="15.75" customHeight="1" spans="1:12" x14ac:dyDescent="0.25">
      <c r="A136" s="17">
        <v>132</v>
      </c>
      <c r="B136" s="19" t="s">
        <v>30</v>
      </c>
      <c r="C136" s="19" t="s">
        <v>233</v>
      </c>
      <c r="D136" s="19" t="s">
        <v>237</v>
      </c>
      <c r="E136" s="19" t="s">
        <v>238</v>
      </c>
      <c r="F136" s="17" t="s">
        <v>16</v>
      </c>
      <c r="G136" s="20">
        <v>46266</v>
      </c>
      <c r="H136" s="20">
        <v>46271</v>
      </c>
      <c r="I136" s="17" t="s">
        <v>10</v>
      </c>
      <c r="J136" s="23">
        <v>0</v>
      </c>
      <c r="K136" s="19" t="s">
        <v>239</v>
      </c>
      <c r="L136" s="19"/>
    </row>
    <row r="137" ht="15.75" customHeight="1" spans="1:12" x14ac:dyDescent="0.25">
      <c r="A137" s="17">
        <v>133</v>
      </c>
      <c r="B137" s="19" t="s">
        <v>30</v>
      </c>
      <c r="C137" s="19" t="s">
        <v>233</v>
      </c>
      <c r="D137" s="19" t="s">
        <v>240</v>
      </c>
      <c r="E137" s="19" t="s">
        <v>241</v>
      </c>
      <c r="F137" s="17" t="s">
        <v>16</v>
      </c>
      <c r="G137" s="20">
        <v>46268</v>
      </c>
      <c r="H137" s="20">
        <v>46272</v>
      </c>
      <c r="I137" s="17" t="s">
        <v>10</v>
      </c>
      <c r="J137" s="23">
        <v>0</v>
      </c>
      <c r="K137" s="19" t="s">
        <v>242</v>
      </c>
      <c r="L137" s="19"/>
    </row>
    <row r="138" ht="15.6" customHeight="1" spans="1:12" x14ac:dyDescent="0.25">
      <c r="A138" s="17">
        <v>134</v>
      </c>
      <c r="B138" s="19" t="s">
        <v>30</v>
      </c>
      <c r="C138" s="19" t="s">
        <v>233</v>
      </c>
      <c r="D138" s="19" t="s">
        <v>243</v>
      </c>
      <c r="E138" s="19" t="s">
        <v>244</v>
      </c>
      <c r="F138" s="17" t="s">
        <v>17</v>
      </c>
      <c r="G138" s="20">
        <v>46266</v>
      </c>
      <c r="H138" s="20">
        <v>46275</v>
      </c>
      <c r="I138" s="17" t="s">
        <v>10</v>
      </c>
      <c r="J138" s="23">
        <v>0</v>
      </c>
      <c r="K138" s="19" t="s">
        <v>245</v>
      </c>
      <c r="L138" s="19"/>
    </row>
    <row r="139" ht="15.6" customHeight="1" hidden="1" spans="1:12" x14ac:dyDescent="0.25">
      <c r="A139" s="17">
        <v>135</v>
      </c>
      <c r="B139" s="19" t="s">
        <v>30</v>
      </c>
      <c r="C139" s="19" t="s">
        <v>233</v>
      </c>
      <c r="D139" s="19" t="s">
        <v>246</v>
      </c>
      <c r="E139" s="19" t="s">
        <v>247</v>
      </c>
      <c r="F139" s="17" t="s">
        <v>17</v>
      </c>
      <c r="G139" s="20">
        <v>46266</v>
      </c>
      <c r="H139" s="20">
        <v>46275</v>
      </c>
      <c r="I139" s="17" t="s">
        <v>10</v>
      </c>
      <c r="J139" s="23">
        <v>0</v>
      </c>
      <c r="K139" s="19" t="s">
        <v>248</v>
      </c>
      <c r="L139" s="19"/>
    </row>
    <row r="140" ht="15.75" customHeight="1" spans="1:12" x14ac:dyDescent="0.25">
      <c r="A140" s="17">
        <v>136</v>
      </c>
      <c r="B140" s="19" t="s">
        <v>30</v>
      </c>
      <c r="C140" s="19" t="s">
        <v>233</v>
      </c>
      <c r="D140" s="19" t="s">
        <v>249</v>
      </c>
      <c r="E140" s="19" t="s">
        <v>250</v>
      </c>
      <c r="F140" s="17" t="s">
        <v>16</v>
      </c>
      <c r="G140" s="20">
        <v>46270</v>
      </c>
      <c r="H140" s="20">
        <v>46275</v>
      </c>
      <c r="I140" s="17" t="s">
        <v>10</v>
      </c>
      <c r="J140" s="23">
        <v>0</v>
      </c>
      <c r="K140" s="19" t="s">
        <v>251</v>
      </c>
      <c r="L140" s="19"/>
    </row>
    <row r="141" ht="15.75" customHeight="1" spans="1:12" x14ac:dyDescent="0.25">
      <c r="A141" s="17">
        <v>137</v>
      </c>
      <c r="B141" s="19" t="s">
        <v>30</v>
      </c>
      <c r="C141" s="19" t="s">
        <v>233</v>
      </c>
      <c r="D141" s="19" t="s">
        <v>252</v>
      </c>
      <c r="E141" s="19" t="s">
        <v>253</v>
      </c>
      <c r="F141" s="17" t="s">
        <v>17</v>
      </c>
      <c r="G141" s="20">
        <v>46267</v>
      </c>
      <c r="H141" s="20">
        <v>46273</v>
      </c>
      <c r="I141" s="17" t="s">
        <v>10</v>
      </c>
      <c r="J141" s="23">
        <v>0</v>
      </c>
      <c r="K141" s="19" t="s">
        <v>254</v>
      </c>
      <c r="L141" s="19"/>
    </row>
    <row r="142" ht="15.75" customHeight="1" spans="1:12" x14ac:dyDescent="0.25">
      <c r="A142" s="17">
        <v>138</v>
      </c>
      <c r="B142" s="19" t="s">
        <v>30</v>
      </c>
      <c r="C142" s="19" t="s">
        <v>233</v>
      </c>
      <c r="D142" s="19" t="s">
        <v>255</v>
      </c>
      <c r="E142" s="19" t="s">
        <v>256</v>
      </c>
      <c r="F142" s="17" t="s">
        <v>16</v>
      </c>
      <c r="G142" s="20">
        <v>46269</v>
      </c>
      <c r="H142" s="20">
        <v>46275</v>
      </c>
      <c r="I142" s="17" t="s">
        <v>10</v>
      </c>
      <c r="J142" s="23">
        <v>0</v>
      </c>
      <c r="K142" s="19" t="s">
        <v>257</v>
      </c>
      <c r="L142" s="19"/>
    </row>
    <row r="143" ht="15.75" customHeight="1" spans="1:12" x14ac:dyDescent="0.25">
      <c r="A143" s="17">
        <v>139</v>
      </c>
      <c r="B143" s="19" t="s">
        <v>30</v>
      </c>
      <c r="C143" s="19" t="s">
        <v>233</v>
      </c>
      <c r="D143" s="19" t="s">
        <v>258</v>
      </c>
      <c r="E143" s="19" t="s">
        <v>259</v>
      </c>
      <c r="F143" s="17" t="s">
        <v>16</v>
      </c>
      <c r="G143" s="20">
        <v>46273</v>
      </c>
      <c r="H143" s="20">
        <v>46275</v>
      </c>
      <c r="I143" s="17" t="s">
        <v>10</v>
      </c>
      <c r="J143" s="23">
        <v>0</v>
      </c>
      <c r="K143" s="19" t="s">
        <v>260</v>
      </c>
      <c r="L143" s="19"/>
    </row>
    <row r="144" ht="15.75" customHeight="1" spans="1:12" x14ac:dyDescent="0.25">
      <c r="A144" s="17">
        <v>140</v>
      </c>
      <c r="B144" s="18" t="s">
        <v>32</v>
      </c>
      <c r="C144" s="19" t="s">
        <v>261</v>
      </c>
      <c r="D144" s="19" t="s">
        <v>262</v>
      </c>
      <c r="E144" s="19" t="s">
        <v>263</v>
      </c>
      <c r="F144" s="17" t="s">
        <v>16</v>
      </c>
      <c r="G144" s="20">
        <v>46262</v>
      </c>
      <c r="H144" s="20">
        <v>46267</v>
      </c>
      <c r="I144" s="17" t="s">
        <v>10</v>
      </c>
      <c r="J144" s="23">
        <v>0</v>
      </c>
      <c r="K144" s="19" t="s">
        <v>264</v>
      </c>
      <c r="L144" s="19"/>
    </row>
    <row r="145" ht="15.75" customHeight="1" spans="1:12" x14ac:dyDescent="0.25">
      <c r="A145" s="17">
        <v>141</v>
      </c>
      <c r="B145" s="19" t="s">
        <v>32</v>
      </c>
      <c r="C145" s="19" t="s">
        <v>261</v>
      </c>
      <c r="D145" s="19" t="s">
        <v>265</v>
      </c>
      <c r="E145" s="19" t="s">
        <v>266</v>
      </c>
      <c r="F145" s="17" t="s">
        <v>16</v>
      </c>
      <c r="G145" s="20">
        <v>46262</v>
      </c>
      <c r="H145" s="20">
        <v>46267</v>
      </c>
      <c r="I145" s="17" t="s">
        <v>10</v>
      </c>
      <c r="J145" s="23">
        <v>0</v>
      </c>
      <c r="K145" s="19" t="s">
        <v>267</v>
      </c>
      <c r="L145" s="19"/>
    </row>
    <row r="146" ht="15.75" customHeight="1" spans="1:12" x14ac:dyDescent="0.25">
      <c r="A146" s="17">
        <v>142</v>
      </c>
      <c r="B146" s="19" t="s">
        <v>32</v>
      </c>
      <c r="C146" s="19" t="s">
        <v>261</v>
      </c>
      <c r="D146" s="19" t="s">
        <v>268</v>
      </c>
      <c r="E146" s="19" t="s">
        <v>269</v>
      </c>
      <c r="F146" s="17" t="s">
        <v>16</v>
      </c>
      <c r="G146" s="20">
        <v>46262</v>
      </c>
      <c r="H146" s="20">
        <v>46268</v>
      </c>
      <c r="I146" s="17" t="s">
        <v>10</v>
      </c>
      <c r="J146" s="23">
        <v>0</v>
      </c>
      <c r="K146" s="19" t="s">
        <v>270</v>
      </c>
      <c r="L146" s="19"/>
    </row>
    <row r="147" ht="15.75" customHeight="1" spans="1:12" x14ac:dyDescent="0.25">
      <c r="A147" s="17">
        <v>143</v>
      </c>
      <c r="B147" s="19" t="s">
        <v>32</v>
      </c>
      <c r="C147" s="19" t="s">
        <v>261</v>
      </c>
      <c r="D147" s="19" t="s">
        <v>271</v>
      </c>
      <c r="E147" s="19" t="s">
        <v>272</v>
      </c>
      <c r="F147" s="17" t="s">
        <v>16</v>
      </c>
      <c r="G147" s="20">
        <v>46262</v>
      </c>
      <c r="H147" s="20">
        <v>46266</v>
      </c>
      <c r="I147" s="17" t="s">
        <v>10</v>
      </c>
      <c r="J147" s="23">
        <v>0</v>
      </c>
      <c r="K147" s="19" t="s">
        <v>273</v>
      </c>
      <c r="L147" s="19"/>
    </row>
    <row r="148" ht="15.75" customHeight="1" spans="1:12" x14ac:dyDescent="0.25">
      <c r="A148" s="17">
        <v>144</v>
      </c>
      <c r="B148" s="19" t="s">
        <v>32</v>
      </c>
      <c r="C148" s="19" t="s">
        <v>261</v>
      </c>
      <c r="D148" s="19" t="s">
        <v>274</v>
      </c>
      <c r="E148" s="19" t="s">
        <v>275</v>
      </c>
      <c r="F148" s="17" t="s">
        <v>17</v>
      </c>
      <c r="G148" s="20">
        <v>46262</v>
      </c>
      <c r="H148" s="20">
        <v>46266</v>
      </c>
      <c r="I148" s="17" t="s">
        <v>10</v>
      </c>
      <c r="J148" s="23">
        <v>0</v>
      </c>
      <c r="K148" s="19" t="s">
        <v>276</v>
      </c>
      <c r="L148" s="19"/>
    </row>
    <row r="149" ht="15.75" customHeight="1" spans="1:12" x14ac:dyDescent="0.25">
      <c r="A149" s="17">
        <v>145</v>
      </c>
      <c r="B149" s="19" t="s">
        <v>32</v>
      </c>
      <c r="C149" s="19" t="s">
        <v>261</v>
      </c>
      <c r="D149" s="19" t="s">
        <v>277</v>
      </c>
      <c r="E149" s="19" t="s">
        <v>278</v>
      </c>
      <c r="F149" s="17" t="s">
        <v>16</v>
      </c>
      <c r="G149" s="20">
        <v>46266</v>
      </c>
      <c r="H149" s="20">
        <v>46268</v>
      </c>
      <c r="I149" s="17" t="s">
        <v>10</v>
      </c>
      <c r="J149" s="23">
        <v>0</v>
      </c>
      <c r="K149" s="19" t="s">
        <v>279</v>
      </c>
      <c r="L149" s="19"/>
    </row>
    <row r="150" ht="15.75" customHeight="1" spans="1:12" x14ac:dyDescent="0.25">
      <c r="A150" s="17">
        <v>146</v>
      </c>
      <c r="B150" s="18" t="s">
        <v>34</v>
      </c>
      <c r="C150" s="19" t="s">
        <v>280</v>
      </c>
      <c r="D150" s="19" t="s">
        <v>281</v>
      </c>
      <c r="E150" s="19" t="s">
        <v>282</v>
      </c>
      <c r="F150" s="17" t="s">
        <v>16</v>
      </c>
      <c r="G150" s="20">
        <v>46275</v>
      </c>
      <c r="H150" s="20">
        <v>46277</v>
      </c>
      <c r="I150" s="17" t="s">
        <v>10</v>
      </c>
      <c r="J150" s="23">
        <v>0</v>
      </c>
      <c r="K150" s="19" t="s">
        <v>283</v>
      </c>
      <c r="L150" s="19"/>
    </row>
    <row r="151" ht="15.75" customHeight="1" spans="1:12" x14ac:dyDescent="0.25">
      <c r="A151" s="17">
        <v>147</v>
      </c>
      <c r="B151" s="19" t="s">
        <v>34</v>
      </c>
      <c r="C151" s="19" t="s">
        <v>280</v>
      </c>
      <c r="D151" s="19" t="s">
        <v>284</v>
      </c>
      <c r="E151" s="19" t="s">
        <v>285</v>
      </c>
      <c r="F151" s="17" t="s">
        <v>16</v>
      </c>
      <c r="G151" s="20">
        <v>46275</v>
      </c>
      <c r="H151" s="20">
        <v>46278</v>
      </c>
      <c r="I151" s="17" t="s">
        <v>10</v>
      </c>
      <c r="J151" s="23">
        <v>0</v>
      </c>
      <c r="K151" s="19" t="s">
        <v>286</v>
      </c>
      <c r="L151" s="19"/>
    </row>
    <row r="152" ht="15.75" customHeight="1" spans="1:12" x14ac:dyDescent="0.25">
      <c r="A152" s="17">
        <v>148</v>
      </c>
      <c r="B152" s="19" t="s">
        <v>34</v>
      </c>
      <c r="C152" s="19" t="s">
        <v>280</v>
      </c>
      <c r="D152" s="19" t="s">
        <v>287</v>
      </c>
      <c r="E152" s="19" t="s">
        <v>288</v>
      </c>
      <c r="F152" s="17" t="s">
        <v>17</v>
      </c>
      <c r="G152" s="20">
        <v>46277</v>
      </c>
      <c r="H152" s="20">
        <v>46279</v>
      </c>
      <c r="I152" s="17" t="s">
        <v>10</v>
      </c>
      <c r="J152" s="23">
        <v>0</v>
      </c>
      <c r="K152" s="19" t="s">
        <v>289</v>
      </c>
      <c r="L152" s="19"/>
    </row>
    <row r="153" ht="15.75" customHeight="1" spans="1:12" x14ac:dyDescent="0.25">
      <c r="A153" s="17">
        <v>149</v>
      </c>
      <c r="B153" s="19" t="s">
        <v>34</v>
      </c>
      <c r="C153" s="19" t="s">
        <v>280</v>
      </c>
      <c r="D153" s="19" t="s">
        <v>290</v>
      </c>
      <c r="E153" s="19" t="s">
        <v>291</v>
      </c>
      <c r="F153" s="17" t="s">
        <v>16</v>
      </c>
      <c r="G153" s="20">
        <v>46276</v>
      </c>
      <c r="H153" s="20">
        <v>46278</v>
      </c>
      <c r="I153" s="17" t="s">
        <v>10</v>
      </c>
      <c r="J153" s="23">
        <v>0</v>
      </c>
      <c r="K153" s="19" t="s">
        <v>292</v>
      </c>
      <c r="L153" s="19"/>
    </row>
    <row r="154" ht="15.75" customHeight="1" spans="1:12" x14ac:dyDescent="0.25">
      <c r="A154" s="17">
        <v>150</v>
      </c>
      <c r="B154" s="19" t="s">
        <v>34</v>
      </c>
      <c r="C154" s="19" t="s">
        <v>280</v>
      </c>
      <c r="D154" s="19" t="s">
        <v>293</v>
      </c>
      <c r="E154" s="19" t="s">
        <v>294</v>
      </c>
      <c r="F154" s="17" t="s">
        <v>17</v>
      </c>
      <c r="G154" s="20">
        <v>46278</v>
      </c>
      <c r="H154" s="20">
        <v>46279</v>
      </c>
      <c r="I154" s="17" t="s">
        <v>10</v>
      </c>
      <c r="J154" s="23">
        <v>0</v>
      </c>
      <c r="K154" s="19" t="s">
        <v>295</v>
      </c>
      <c r="L154" s="19"/>
    </row>
    <row r="155" ht="15.75" customHeight="1" spans="1:12" x14ac:dyDescent="0.25">
      <c r="A155" s="17">
        <v>151</v>
      </c>
      <c r="B155" s="18" t="s">
        <v>36</v>
      </c>
      <c r="C155" s="19" t="s">
        <v>296</v>
      </c>
      <c r="D155" s="19" t="s">
        <v>297</v>
      </c>
      <c r="E155" s="19" t="s">
        <v>298</v>
      </c>
      <c r="F155" s="17" t="s">
        <v>16</v>
      </c>
      <c r="G155" s="20">
        <v>46280</v>
      </c>
      <c r="H155" s="20">
        <v>46644</v>
      </c>
      <c r="I155" s="17" t="s">
        <v>10</v>
      </c>
      <c r="J155" s="23">
        <v>0</v>
      </c>
      <c r="K155" s="19" t="s">
        <v>299</v>
      </c>
      <c r="L155" s="19"/>
    </row>
    <row r="156" ht="15.75" customHeight="1" spans="1:12" x14ac:dyDescent="0.25">
      <c r="A156" s="17">
        <v>152</v>
      </c>
      <c r="B156" s="19" t="s">
        <v>36</v>
      </c>
      <c r="C156" s="19" t="s">
        <v>296</v>
      </c>
      <c r="D156" s="19" t="s">
        <v>300</v>
      </c>
      <c r="E156" s="19" t="s">
        <v>301</v>
      </c>
      <c r="F156" s="17" t="s">
        <v>16</v>
      </c>
      <c r="G156" s="20">
        <v>46280</v>
      </c>
      <c r="H156" s="20">
        <v>46644</v>
      </c>
      <c r="I156" s="17" t="s">
        <v>10</v>
      </c>
      <c r="J156" s="23">
        <v>0</v>
      </c>
      <c r="K156" s="19" t="s">
        <v>302</v>
      </c>
      <c r="L156" s="19"/>
    </row>
    <row r="157" ht="15.75" customHeight="1" spans="1:12" x14ac:dyDescent="0.25">
      <c r="A157" s="17">
        <v>153</v>
      </c>
      <c r="B157" s="19" t="s">
        <v>36</v>
      </c>
      <c r="C157" s="19" t="s">
        <v>296</v>
      </c>
      <c r="D157" s="19" t="s">
        <v>303</v>
      </c>
      <c r="E157" s="19" t="s">
        <v>304</v>
      </c>
      <c r="F157" s="17" t="s">
        <v>17</v>
      </c>
      <c r="G157" s="20">
        <v>46280</v>
      </c>
      <c r="H157" s="20">
        <v>46644</v>
      </c>
      <c r="I157" s="17" t="s">
        <v>10</v>
      </c>
      <c r="J157" s="23">
        <v>0</v>
      </c>
      <c r="K157" s="19" t="s">
        <v>305</v>
      </c>
      <c r="L157" s="19"/>
    </row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4:L157"/>
  <conditionalFormatting sqref="H5:H157">
    <cfRule type="cellIs" dxfId="0" priority="5" operator="lessThan">
      <formula>IF($I5="Дууссан",0,TODAY())</formula>
    </cfRule>
  </conditionalFormatting>
  <conditionalFormatting sqref="I5:I157">
    <cfRule type="cellIs" dxfId="1" priority="1" operator="equal">
      <formula>"Дууссан"</formula>
    </cfRule>
    <cfRule type="cellIs" dxfId="2" priority="2" operator="equal">
      <formula>"Хийгдэж байна"</formula>
    </cfRule>
    <cfRule type="cellIs" dxfId="3" priority="3" operator="equal">
      <formula>"Тестэд"</formula>
    </cfRule>
    <cfRule type="cellIs" dxfId="4" priority="4" operator="equal">
      <formula>"Саатсан"</formula>
    </cfRule>
  </conditionalFormatting>
  <dataValidations count="6">
    <dataValidation type="list" allowBlank="1" sqref="F10:F157">
      <formula1>"ITsystem,ЗСҮТ"</formula1>
    </dataValidation>
    <dataValidation type="list" allowBlank="1" sqref="F5:F157">
      <formula1>"ITsystem,ЗСҮТ"</formula1>
    </dataValidation>
    <dataValidation type="list" allowBlank="1" sqref="I10:I157">
      <formula1>"Эхлээгүй,Хийгдэж байна,Тестэд,Дууссан,Саатсан,Хамаарахгүй"</formula1>
    </dataValidation>
    <dataValidation type="list" allowBlank="1" sqref="I5:I157">
      <formula1>"Эхлээгүй,Хийгдэж байна,Тестэд,Дууссан,Саатсан,Хамаарахгүй"</formula1>
    </dataValidation>
    <dataValidation type="decimal" allowBlank="1" sqref="J10:J157">
      <formula1>0</formula1>
      <formula2>1</formula2>
    </dataValidation>
    <dataValidation type="decimal" allowBlank="1" sqref="J5:J157">
      <formula1>0</formula1>
      <formula2>1</formula2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0" zoomScaleNormal="100">
      <pane xSplit="3" ySplit="4" topLeftCell="D11" activePane="bottomRight" state="frozen"/>
      <selection pane="bottomRight" activeCell="D5" sqref="D5"/>
    </sheetView>
  </sheetViews>
  <sheetFormatPr defaultRowHeight="14.4" outlineLevelRow="0" outlineLevelCol="0" x14ac:dyDescent="0.3" defaultColWidth="14.44140625" customHeight="1"/>
  <cols>
    <col min="1" max="1" width="5" customWidth="1"/>
    <col min="2" max="2" width="30" customWidth="1"/>
    <col min="3" max="3" width="26" customWidth="1"/>
    <col min="4" max="4" width="42" customWidth="1"/>
    <col min="5" max="5" width="52" customWidth="1"/>
    <col min="6" max="6" width="13" customWidth="1"/>
    <col min="7" max="8" width="12" customWidth="1"/>
    <col min="9" max="9" width="23.109375" customWidth="1"/>
    <col min="10" max="10" width="12" customWidth="1"/>
    <col min="11" max="11" width="52" customWidth="1"/>
    <col min="12" max="12" width="40" customWidth="1"/>
    <col min="13" max="26" width="8.6640625" customWidth="1"/>
  </cols>
  <sheetData>
    <row r="1" ht="24" customHeight="1" spans="1:1" x14ac:dyDescent="0.25">
      <c r="A1" s="16" t="s">
        <v>38</v>
      </c>
    </row>
    <row r="2" ht="15.75" customHeight="1" spans="1:1" x14ac:dyDescent="0.25">
      <c r="A2" s="2"/>
    </row>
    <row r="3" ht="7.5" customHeight="1" x14ac:dyDescent="0.25"/>
    <row r="4" ht="31.5" customHeight="1" spans="1:12" x14ac:dyDescent="0.25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ht="39.6" customHeight="1" spans="1:12" x14ac:dyDescent="0.25">
      <c r="A5" s="17">
        <v>1</v>
      </c>
      <c r="B5" s="18" t="s">
        <v>39</v>
      </c>
      <c r="C5" s="19" t="s">
        <v>306</v>
      </c>
      <c r="D5" s="19" t="s">
        <v>307</v>
      </c>
      <c r="E5" s="19" t="s">
        <v>308</v>
      </c>
      <c r="F5" s="17" t="s">
        <v>16</v>
      </c>
      <c r="G5" s="20">
        <v>46206</v>
      </c>
      <c r="H5" s="20">
        <v>46213</v>
      </c>
      <c r="I5" s="21" t="s">
        <v>7</v>
      </c>
      <c r="J5" s="23">
        <v>1</v>
      </c>
      <c r="K5" s="19" t="s">
        <v>309</v>
      </c>
      <c r="L5" s="19" t="s">
        <v>310</v>
      </c>
    </row>
    <row r="6" ht="39.6" customHeight="1" spans="1:12" x14ac:dyDescent="0.25">
      <c r="A6" s="17">
        <v>2</v>
      </c>
      <c r="B6" s="19" t="s">
        <v>39</v>
      </c>
      <c r="C6" s="19" t="s">
        <v>306</v>
      </c>
      <c r="D6" s="19" t="s">
        <v>311</v>
      </c>
      <c r="E6" s="19" t="s">
        <v>312</v>
      </c>
      <c r="F6" s="17" t="s">
        <v>16</v>
      </c>
      <c r="G6" s="20">
        <v>46206</v>
      </c>
      <c r="H6" s="20">
        <v>46211</v>
      </c>
      <c r="I6" s="21" t="s">
        <v>7</v>
      </c>
      <c r="J6" s="23">
        <v>1</v>
      </c>
      <c r="K6" s="19" t="s">
        <v>313</v>
      </c>
      <c r="L6" s="19" t="s">
        <v>310</v>
      </c>
    </row>
    <row r="7" ht="39.6" customHeight="1" spans="1:12" x14ac:dyDescent="0.25">
      <c r="A7" s="17">
        <v>3</v>
      </c>
      <c r="B7" s="19" t="s">
        <v>39</v>
      </c>
      <c r="C7" s="19" t="s">
        <v>306</v>
      </c>
      <c r="D7" s="19" t="s">
        <v>314</v>
      </c>
      <c r="E7" s="19" t="s">
        <v>315</v>
      </c>
      <c r="F7" s="17" t="s">
        <v>16</v>
      </c>
      <c r="G7" s="20">
        <v>46209</v>
      </c>
      <c r="H7" s="20">
        <v>46213</v>
      </c>
      <c r="I7" s="21" t="s">
        <v>7</v>
      </c>
      <c r="J7" s="23">
        <v>1</v>
      </c>
      <c r="K7" s="19" t="s">
        <v>316</v>
      </c>
      <c r="L7" s="19" t="s">
        <v>310</v>
      </c>
    </row>
    <row r="8" ht="39.6" customHeight="1" spans="1:12" x14ac:dyDescent="0.25">
      <c r="A8" s="17">
        <v>4</v>
      </c>
      <c r="B8" s="19" t="s">
        <v>39</v>
      </c>
      <c r="C8" s="19" t="s">
        <v>306</v>
      </c>
      <c r="D8" s="19" t="s">
        <v>317</v>
      </c>
      <c r="E8" s="19" t="s">
        <v>318</v>
      </c>
      <c r="F8" s="17" t="s">
        <v>17</v>
      </c>
      <c r="G8" s="20">
        <v>46206</v>
      </c>
      <c r="H8" s="20">
        <v>46213</v>
      </c>
      <c r="I8" s="17" t="s">
        <v>11</v>
      </c>
      <c r="J8" s="23">
        <v>0</v>
      </c>
      <c r="K8" s="19" t="s">
        <v>319</v>
      </c>
      <c r="L8" s="19" t="s">
        <v>101</v>
      </c>
    </row>
    <row r="9" ht="39.6" customHeight="1" spans="1:12" x14ac:dyDescent="0.25">
      <c r="A9" s="17">
        <v>5</v>
      </c>
      <c r="B9" s="19" t="s">
        <v>39</v>
      </c>
      <c r="C9" s="19" t="s">
        <v>306</v>
      </c>
      <c r="D9" s="19" t="s">
        <v>320</v>
      </c>
      <c r="E9" s="19" t="s">
        <v>321</v>
      </c>
      <c r="F9" s="17" t="s">
        <v>16</v>
      </c>
      <c r="G9" s="20">
        <v>46209</v>
      </c>
      <c r="H9" s="20">
        <v>46215</v>
      </c>
      <c r="I9" s="21" t="s">
        <v>7</v>
      </c>
      <c r="J9" s="23">
        <v>1</v>
      </c>
      <c r="K9" s="19" t="s">
        <v>322</v>
      </c>
      <c r="L9" s="19" t="s">
        <v>310</v>
      </c>
    </row>
    <row r="10" ht="39.6" customHeight="1" spans="1:12" x14ac:dyDescent="0.25">
      <c r="A10" s="17">
        <v>6</v>
      </c>
      <c r="B10" s="19" t="s">
        <v>39</v>
      </c>
      <c r="C10" s="19" t="s">
        <v>306</v>
      </c>
      <c r="D10" s="19" t="s">
        <v>98</v>
      </c>
      <c r="E10" s="19" t="s">
        <v>323</v>
      </c>
      <c r="F10" s="17" t="s">
        <v>17</v>
      </c>
      <c r="G10" s="20">
        <v>46211</v>
      </c>
      <c r="H10" s="20">
        <v>46215</v>
      </c>
      <c r="I10" s="21" t="s">
        <v>7</v>
      </c>
      <c r="J10" s="23">
        <v>1</v>
      </c>
      <c r="K10" s="19" t="s">
        <v>324</v>
      </c>
      <c r="L10" s="19" t="s">
        <v>310</v>
      </c>
    </row>
    <row r="11" ht="39.6" customHeight="1" spans="1:12" x14ac:dyDescent="0.25">
      <c r="A11" s="17">
        <v>7</v>
      </c>
      <c r="B11" s="18" t="s">
        <v>41</v>
      </c>
      <c r="C11" s="19" t="s">
        <v>325</v>
      </c>
      <c r="D11" s="19" t="s">
        <v>326</v>
      </c>
      <c r="E11" s="19" t="s">
        <v>327</v>
      </c>
      <c r="F11" s="17" t="s">
        <v>16</v>
      </c>
      <c r="G11" s="20">
        <v>46213</v>
      </c>
      <c r="H11" s="20">
        <v>46219</v>
      </c>
      <c r="I11" s="21" t="s">
        <v>7</v>
      </c>
      <c r="J11" s="23">
        <v>1</v>
      </c>
      <c r="K11" s="19" t="s">
        <v>328</v>
      </c>
      <c r="L11" s="19" t="s">
        <v>310</v>
      </c>
    </row>
    <row r="12" ht="39.6" customHeight="1" spans="1:12" x14ac:dyDescent="0.25">
      <c r="A12" s="17">
        <v>8</v>
      </c>
      <c r="B12" s="19" t="s">
        <v>41</v>
      </c>
      <c r="C12" s="19" t="s">
        <v>325</v>
      </c>
      <c r="D12" s="19" t="s">
        <v>329</v>
      </c>
      <c r="E12" s="19" t="s">
        <v>330</v>
      </c>
      <c r="F12" s="17" t="s">
        <v>16</v>
      </c>
      <c r="G12" s="20">
        <v>46216</v>
      </c>
      <c r="H12" s="20">
        <v>46221</v>
      </c>
      <c r="I12" s="21" t="s">
        <v>7</v>
      </c>
      <c r="J12" s="23">
        <v>1</v>
      </c>
      <c r="K12" s="19" t="s">
        <v>331</v>
      </c>
      <c r="L12" s="19" t="s">
        <v>310</v>
      </c>
    </row>
    <row r="13" ht="39.6" customHeight="1" spans="1:12" x14ac:dyDescent="0.25">
      <c r="A13" s="17">
        <v>9</v>
      </c>
      <c r="B13" s="19" t="s">
        <v>41</v>
      </c>
      <c r="C13" s="19" t="s">
        <v>325</v>
      </c>
      <c r="D13" s="19" t="s">
        <v>332</v>
      </c>
      <c r="E13" s="19" t="s">
        <v>333</v>
      </c>
      <c r="F13" s="17" t="s">
        <v>16</v>
      </c>
      <c r="G13" s="20">
        <v>46216</v>
      </c>
      <c r="H13" s="20">
        <v>46221</v>
      </c>
      <c r="I13" s="21" t="s">
        <v>7</v>
      </c>
      <c r="J13" s="23">
        <v>1</v>
      </c>
      <c r="K13" s="19" t="s">
        <v>334</v>
      </c>
      <c r="L13" s="19" t="s">
        <v>310</v>
      </c>
    </row>
    <row r="14" ht="39.6" customHeight="1" spans="1:12" x14ac:dyDescent="0.25">
      <c r="A14" s="17">
        <v>10</v>
      </c>
      <c r="B14" s="19" t="s">
        <v>41</v>
      </c>
      <c r="C14" s="19" t="s">
        <v>325</v>
      </c>
      <c r="D14" s="19" t="s">
        <v>335</v>
      </c>
      <c r="E14" s="19" t="s">
        <v>336</v>
      </c>
      <c r="F14" s="17" t="s">
        <v>16</v>
      </c>
      <c r="G14" s="20">
        <v>46216</v>
      </c>
      <c r="H14" s="20">
        <v>46225</v>
      </c>
      <c r="I14" s="21" t="s">
        <v>7</v>
      </c>
      <c r="J14" s="23">
        <v>1</v>
      </c>
      <c r="K14" s="19" t="s">
        <v>337</v>
      </c>
      <c r="L14" s="19" t="s">
        <v>310</v>
      </c>
    </row>
    <row r="15" ht="39.6" customHeight="1" spans="1:12" x14ac:dyDescent="0.25">
      <c r="A15" s="17">
        <v>11</v>
      </c>
      <c r="B15" s="19" t="s">
        <v>41</v>
      </c>
      <c r="C15" s="19" t="s">
        <v>325</v>
      </c>
      <c r="D15" s="19" t="s">
        <v>338</v>
      </c>
      <c r="E15" s="19" t="s">
        <v>339</v>
      </c>
      <c r="F15" s="17" t="s">
        <v>17</v>
      </c>
      <c r="G15" s="20">
        <v>46223</v>
      </c>
      <c r="H15" s="20">
        <v>46227</v>
      </c>
      <c r="I15" s="17" t="s">
        <v>11</v>
      </c>
      <c r="J15" s="23">
        <v>0</v>
      </c>
      <c r="K15" s="19" t="s">
        <v>340</v>
      </c>
      <c r="L15" s="19" t="s">
        <v>341</v>
      </c>
    </row>
    <row r="16" ht="39.6" customHeight="1" spans="1:12" x14ac:dyDescent="0.25">
      <c r="A16" s="17">
        <v>12</v>
      </c>
      <c r="B16" s="18" t="s">
        <v>43</v>
      </c>
      <c r="C16" s="19" t="s">
        <v>342</v>
      </c>
      <c r="D16" s="19" t="s">
        <v>343</v>
      </c>
      <c r="E16" s="19" t="s">
        <v>344</v>
      </c>
      <c r="F16" s="17" t="s">
        <v>16</v>
      </c>
      <c r="G16" s="20">
        <v>46225</v>
      </c>
      <c r="H16" s="20">
        <v>46235</v>
      </c>
      <c r="I16" s="21" t="s">
        <v>7</v>
      </c>
      <c r="J16" s="23">
        <v>1</v>
      </c>
      <c r="K16" s="19" t="s">
        <v>345</v>
      </c>
      <c r="L16" s="19" t="s">
        <v>310</v>
      </c>
    </row>
    <row r="17" ht="39.6" customHeight="1" spans="1:12" x14ac:dyDescent="0.25">
      <c r="A17" s="17">
        <v>13</v>
      </c>
      <c r="B17" s="19" t="s">
        <v>43</v>
      </c>
      <c r="C17" s="19" t="s">
        <v>342</v>
      </c>
      <c r="D17" s="19" t="s">
        <v>346</v>
      </c>
      <c r="E17" s="19" t="s">
        <v>347</v>
      </c>
      <c r="F17" s="17" t="s">
        <v>16</v>
      </c>
      <c r="G17" s="20">
        <v>46227</v>
      </c>
      <c r="H17" s="20">
        <v>46235</v>
      </c>
      <c r="I17" s="21" t="s">
        <v>7</v>
      </c>
      <c r="J17" s="23">
        <v>1</v>
      </c>
      <c r="K17" s="19" t="s">
        <v>348</v>
      </c>
      <c r="L17" s="19" t="s">
        <v>310</v>
      </c>
    </row>
    <row r="18" spans="1:12" x14ac:dyDescent="0.25">
      <c r="A18" s="17">
        <v>14</v>
      </c>
      <c r="B18" s="19" t="s">
        <v>43</v>
      </c>
      <c r="C18" s="19" t="s">
        <v>342</v>
      </c>
      <c r="D18" s="19" t="s">
        <v>349</v>
      </c>
      <c r="E18" s="19" t="s">
        <v>350</v>
      </c>
      <c r="F18" s="17" t="s">
        <v>16</v>
      </c>
      <c r="G18" s="20">
        <v>46230</v>
      </c>
      <c r="H18" s="20">
        <v>46237</v>
      </c>
      <c r="I18" s="21" t="s">
        <v>10</v>
      </c>
      <c r="J18" s="23">
        <v>0</v>
      </c>
      <c r="K18" s="19" t="s">
        <v>351</v>
      </c>
      <c r="L18" s="19" t="s">
        <v>352</v>
      </c>
    </row>
    <row r="19" spans="1:12" x14ac:dyDescent="0.25">
      <c r="A19" s="17">
        <v>15</v>
      </c>
      <c r="B19" s="19" t="s">
        <v>43</v>
      </c>
      <c r="C19" s="19" t="s">
        <v>342</v>
      </c>
      <c r="D19" s="19" t="s">
        <v>353</v>
      </c>
      <c r="E19" s="19" t="s">
        <v>354</v>
      </c>
      <c r="F19" s="17" t="s">
        <v>16</v>
      </c>
      <c r="G19" s="20">
        <v>46230</v>
      </c>
      <c r="H19" s="20">
        <v>46237</v>
      </c>
      <c r="I19" s="21" t="s">
        <v>9</v>
      </c>
      <c r="J19" s="23">
        <v>0</v>
      </c>
      <c r="K19" s="19" t="s">
        <v>355</v>
      </c>
      <c r="L19" s="19"/>
    </row>
    <row r="20" spans="1:12" x14ac:dyDescent="0.25">
      <c r="A20" s="17">
        <v>16</v>
      </c>
      <c r="B20" s="19" t="s">
        <v>43</v>
      </c>
      <c r="C20" s="19" t="s">
        <v>342</v>
      </c>
      <c r="D20" s="19" t="s">
        <v>356</v>
      </c>
      <c r="E20" s="19" t="s">
        <v>357</v>
      </c>
      <c r="F20" s="17" t="s">
        <v>16</v>
      </c>
      <c r="G20" s="20">
        <v>46232</v>
      </c>
      <c r="H20" s="20">
        <v>46237</v>
      </c>
      <c r="I20" s="17" t="s">
        <v>10</v>
      </c>
      <c r="J20" s="23">
        <v>0</v>
      </c>
      <c r="K20" s="19" t="s">
        <v>358</v>
      </c>
      <c r="L20" s="19"/>
    </row>
    <row r="21" ht="15.75" customHeight="1" spans="1:12" x14ac:dyDescent="0.25">
      <c r="A21" s="17">
        <v>17</v>
      </c>
      <c r="B21" s="19" t="s">
        <v>43</v>
      </c>
      <c r="C21" s="19" t="s">
        <v>342</v>
      </c>
      <c r="D21" s="19" t="s">
        <v>359</v>
      </c>
      <c r="E21" s="19" t="s">
        <v>360</v>
      </c>
      <c r="F21" s="17" t="s">
        <v>16</v>
      </c>
      <c r="G21" s="20">
        <v>46230</v>
      </c>
      <c r="H21" s="20">
        <v>46242</v>
      </c>
      <c r="I21" s="21" t="s">
        <v>11</v>
      </c>
      <c r="J21" s="23">
        <v>0</v>
      </c>
      <c r="K21" s="19" t="s">
        <v>361</v>
      </c>
      <c r="L21" s="19"/>
    </row>
    <row r="22" ht="15.75" customHeight="1" spans="1:12" x14ac:dyDescent="0.25">
      <c r="A22" s="17">
        <v>18</v>
      </c>
      <c r="B22" s="19" t="s">
        <v>43</v>
      </c>
      <c r="C22" s="19" t="s">
        <v>342</v>
      </c>
      <c r="D22" s="19" t="s">
        <v>362</v>
      </c>
      <c r="E22" s="19" t="s">
        <v>363</v>
      </c>
      <c r="F22" s="17" t="s">
        <v>16</v>
      </c>
      <c r="G22" s="20">
        <v>46235</v>
      </c>
      <c r="H22" s="20">
        <v>46246</v>
      </c>
      <c r="I22" s="21" t="s">
        <v>11</v>
      </c>
      <c r="J22" s="23">
        <v>0</v>
      </c>
      <c r="K22" s="19" t="s">
        <v>364</v>
      </c>
      <c r="L22" s="19"/>
    </row>
    <row r="23" ht="15.75" customHeight="1" spans="1:12" x14ac:dyDescent="0.25">
      <c r="A23" s="17">
        <v>19</v>
      </c>
      <c r="B23" s="19" t="s">
        <v>43</v>
      </c>
      <c r="C23" s="19" t="s">
        <v>342</v>
      </c>
      <c r="D23" s="19" t="s">
        <v>365</v>
      </c>
      <c r="E23" s="19" t="s">
        <v>366</v>
      </c>
      <c r="F23" s="17" t="s">
        <v>16</v>
      </c>
      <c r="G23" s="20">
        <v>46235</v>
      </c>
      <c r="H23" s="20">
        <v>46248</v>
      </c>
      <c r="I23" s="17" t="s">
        <v>10</v>
      </c>
      <c r="J23" s="23">
        <v>0</v>
      </c>
      <c r="K23" s="19" t="s">
        <v>367</v>
      </c>
      <c r="L23" s="19"/>
    </row>
    <row r="24" ht="15.75" customHeight="1" spans="1:12" x14ac:dyDescent="0.25">
      <c r="A24" s="17">
        <v>20</v>
      </c>
      <c r="B24" s="19" t="s">
        <v>43</v>
      </c>
      <c r="C24" s="19" t="s">
        <v>342</v>
      </c>
      <c r="D24" s="19" t="s">
        <v>368</v>
      </c>
      <c r="E24" s="19" t="s">
        <v>369</v>
      </c>
      <c r="F24" s="17" t="s">
        <v>16</v>
      </c>
      <c r="G24" s="20">
        <v>46237</v>
      </c>
      <c r="H24" s="20">
        <v>46250</v>
      </c>
      <c r="I24" s="17" t="s">
        <v>10</v>
      </c>
      <c r="J24" s="23">
        <v>0</v>
      </c>
      <c r="K24" s="19" t="s">
        <v>370</v>
      </c>
      <c r="L24" s="19"/>
    </row>
    <row r="25" ht="15.75" customHeight="1" spans="1:12" x14ac:dyDescent="0.25">
      <c r="A25" s="17">
        <v>21</v>
      </c>
      <c r="B25" s="19" t="s">
        <v>43</v>
      </c>
      <c r="C25" s="19" t="s">
        <v>342</v>
      </c>
      <c r="D25" s="19" t="s">
        <v>371</v>
      </c>
      <c r="E25" s="19" t="s">
        <v>372</v>
      </c>
      <c r="F25" s="17" t="s">
        <v>16</v>
      </c>
      <c r="G25" s="20">
        <v>46237</v>
      </c>
      <c r="H25" s="20">
        <v>46246</v>
      </c>
      <c r="I25" s="17" t="s">
        <v>10</v>
      </c>
      <c r="J25" s="23">
        <v>0</v>
      </c>
      <c r="K25" s="19" t="s">
        <v>373</v>
      </c>
      <c r="L25" s="19"/>
    </row>
    <row r="26" ht="15.75" customHeight="1" spans="1:12" x14ac:dyDescent="0.25">
      <c r="A26" s="17">
        <v>22</v>
      </c>
      <c r="B26" s="19" t="s">
        <v>43</v>
      </c>
      <c r="C26" s="19" t="s">
        <v>342</v>
      </c>
      <c r="D26" s="19" t="s">
        <v>374</v>
      </c>
      <c r="E26" s="19" t="s">
        <v>375</v>
      </c>
      <c r="F26" s="17" t="s">
        <v>17</v>
      </c>
      <c r="G26" s="20">
        <v>46225</v>
      </c>
      <c r="H26" s="20">
        <v>46237</v>
      </c>
      <c r="I26" s="17" t="s">
        <v>11</v>
      </c>
      <c r="J26" s="23">
        <v>0</v>
      </c>
      <c r="K26" s="19" t="s">
        <v>376</v>
      </c>
      <c r="L26" s="19" t="s">
        <v>94</v>
      </c>
    </row>
    <row r="27" ht="15.75" customHeight="1" spans="1:12" x14ac:dyDescent="0.25">
      <c r="A27" s="17">
        <v>23</v>
      </c>
      <c r="B27" s="19" t="s">
        <v>43</v>
      </c>
      <c r="C27" s="19" t="s">
        <v>342</v>
      </c>
      <c r="D27" s="19" t="s">
        <v>377</v>
      </c>
      <c r="E27" s="19" t="s">
        <v>378</v>
      </c>
      <c r="F27" s="17" t="s">
        <v>16</v>
      </c>
      <c r="G27" s="20">
        <v>46239</v>
      </c>
      <c r="H27" s="20">
        <v>46248</v>
      </c>
      <c r="I27" s="17" t="s">
        <v>10</v>
      </c>
      <c r="J27" s="23">
        <v>0</v>
      </c>
      <c r="K27" s="19" t="s">
        <v>379</v>
      </c>
      <c r="L27" s="19"/>
    </row>
    <row r="28" ht="15.75" customHeight="1" spans="1:12" x14ac:dyDescent="0.25">
      <c r="A28" s="17">
        <v>24</v>
      </c>
      <c r="B28" s="19" t="s">
        <v>43</v>
      </c>
      <c r="C28" s="19" t="s">
        <v>342</v>
      </c>
      <c r="D28" s="19" t="s">
        <v>380</v>
      </c>
      <c r="E28" s="19" t="s">
        <v>381</v>
      </c>
      <c r="F28" s="17" t="s">
        <v>16</v>
      </c>
      <c r="G28" s="20">
        <v>46239</v>
      </c>
      <c r="H28" s="20">
        <v>46248</v>
      </c>
      <c r="I28" s="17" t="s">
        <v>11</v>
      </c>
      <c r="J28" s="23">
        <v>0</v>
      </c>
      <c r="K28" s="19" t="s">
        <v>382</v>
      </c>
      <c r="L28" s="19" t="s">
        <v>383</v>
      </c>
    </row>
    <row r="29" ht="15.75" customHeight="1" spans="1:12" x14ac:dyDescent="0.25">
      <c r="A29" s="17">
        <v>25</v>
      </c>
      <c r="B29" s="19" t="s">
        <v>43</v>
      </c>
      <c r="C29" s="19" t="s">
        <v>342</v>
      </c>
      <c r="D29" s="19" t="s">
        <v>384</v>
      </c>
      <c r="E29" s="19" t="s">
        <v>385</v>
      </c>
      <c r="F29" s="17" t="s">
        <v>16</v>
      </c>
      <c r="G29" s="20">
        <v>46239</v>
      </c>
      <c r="H29" s="20">
        <v>46250</v>
      </c>
      <c r="I29" s="17" t="s">
        <v>10</v>
      </c>
      <c r="J29" s="23">
        <v>0</v>
      </c>
      <c r="K29" s="19" t="s">
        <v>386</v>
      </c>
      <c r="L29" s="19"/>
    </row>
    <row r="30" ht="15.75" customHeight="1" spans="1:12" x14ac:dyDescent="0.25">
      <c r="A30" s="17">
        <v>26</v>
      </c>
      <c r="B30" s="19" t="s">
        <v>43</v>
      </c>
      <c r="C30" s="19" t="s">
        <v>342</v>
      </c>
      <c r="D30" s="19" t="s">
        <v>387</v>
      </c>
      <c r="E30" s="19" t="s">
        <v>388</v>
      </c>
      <c r="F30" s="17" t="s">
        <v>16</v>
      </c>
      <c r="G30" s="20">
        <v>46242</v>
      </c>
      <c r="H30" s="20">
        <v>46250</v>
      </c>
      <c r="I30" s="17" t="s">
        <v>10</v>
      </c>
      <c r="J30" s="23">
        <v>0</v>
      </c>
      <c r="K30" s="19" t="s">
        <v>389</v>
      </c>
      <c r="L30" s="19"/>
    </row>
    <row r="31" ht="15.75" customHeight="1" spans="1:12" x14ac:dyDescent="0.25">
      <c r="A31" s="17">
        <v>27</v>
      </c>
      <c r="B31" s="19" t="s">
        <v>43</v>
      </c>
      <c r="C31" s="19" t="s">
        <v>342</v>
      </c>
      <c r="D31" s="19" t="s">
        <v>390</v>
      </c>
      <c r="E31" s="19" t="s">
        <v>391</v>
      </c>
      <c r="F31" s="17" t="s">
        <v>16</v>
      </c>
      <c r="G31" s="20">
        <v>46242</v>
      </c>
      <c r="H31" s="20">
        <v>46250</v>
      </c>
      <c r="I31" s="17" t="s">
        <v>10</v>
      </c>
      <c r="J31" s="23">
        <v>0</v>
      </c>
      <c r="K31" s="19" t="s">
        <v>392</v>
      </c>
      <c r="L31" s="19"/>
    </row>
    <row r="32" ht="15.75" customHeight="1" spans="1:12" x14ac:dyDescent="0.25">
      <c r="A32" s="17">
        <v>28</v>
      </c>
      <c r="B32" s="18" t="s">
        <v>45</v>
      </c>
      <c r="C32" s="19" t="s">
        <v>393</v>
      </c>
      <c r="D32" s="19" t="s">
        <v>394</v>
      </c>
      <c r="E32" s="19" t="s">
        <v>395</v>
      </c>
      <c r="F32" s="17" t="s">
        <v>16</v>
      </c>
      <c r="G32" s="20">
        <v>46240</v>
      </c>
      <c r="H32" s="20">
        <v>46248</v>
      </c>
      <c r="I32" s="17" t="s">
        <v>10</v>
      </c>
      <c r="J32" s="23">
        <v>0</v>
      </c>
      <c r="K32" s="19" t="s">
        <v>396</v>
      </c>
      <c r="L32" s="19"/>
    </row>
    <row r="33" ht="15.75" customHeight="1" spans="1:12" x14ac:dyDescent="0.25">
      <c r="A33" s="17">
        <v>29</v>
      </c>
      <c r="B33" s="19" t="s">
        <v>45</v>
      </c>
      <c r="C33" s="19" t="s">
        <v>393</v>
      </c>
      <c r="D33" s="19" t="s">
        <v>397</v>
      </c>
      <c r="E33" s="19" t="s">
        <v>398</v>
      </c>
      <c r="F33" s="17" t="s">
        <v>16</v>
      </c>
      <c r="G33" s="20">
        <v>46242</v>
      </c>
      <c r="H33" s="20">
        <v>46251</v>
      </c>
      <c r="I33" s="17" t="s">
        <v>10</v>
      </c>
      <c r="J33" s="23">
        <v>0</v>
      </c>
      <c r="K33" s="19" t="s">
        <v>399</v>
      </c>
      <c r="L33" s="19"/>
    </row>
    <row r="34" ht="15.75" customHeight="1" spans="1:12" x14ac:dyDescent="0.25">
      <c r="A34" s="17">
        <v>30</v>
      </c>
      <c r="B34" s="19" t="s">
        <v>45</v>
      </c>
      <c r="C34" s="19" t="s">
        <v>393</v>
      </c>
      <c r="D34" s="19" t="s">
        <v>400</v>
      </c>
      <c r="E34" s="19" t="s">
        <v>401</v>
      </c>
      <c r="F34" s="17" t="s">
        <v>16</v>
      </c>
      <c r="G34" s="20">
        <v>46245</v>
      </c>
      <c r="H34" s="20">
        <v>46253</v>
      </c>
      <c r="I34" s="17" t="s">
        <v>10</v>
      </c>
      <c r="J34" s="23">
        <v>0</v>
      </c>
      <c r="K34" s="19" t="s">
        <v>402</v>
      </c>
      <c r="L34" s="19"/>
    </row>
    <row r="35" ht="15.75" customHeight="1" spans="1:12" x14ac:dyDescent="0.25">
      <c r="A35" s="17">
        <v>31</v>
      </c>
      <c r="B35" s="19" t="s">
        <v>45</v>
      </c>
      <c r="C35" s="19" t="s">
        <v>393</v>
      </c>
      <c r="D35" s="19" t="s">
        <v>403</v>
      </c>
      <c r="E35" s="19" t="s">
        <v>404</v>
      </c>
      <c r="F35" s="17" t="s">
        <v>16</v>
      </c>
      <c r="G35" s="20">
        <v>46247</v>
      </c>
      <c r="H35" s="20">
        <v>46255</v>
      </c>
      <c r="I35" s="17" t="s">
        <v>10</v>
      </c>
      <c r="J35" s="23">
        <v>0</v>
      </c>
      <c r="K35" s="19" t="s">
        <v>405</v>
      </c>
      <c r="L35" s="19"/>
    </row>
    <row r="36" ht="15.75" customHeight="1" spans="1:12" x14ac:dyDescent="0.25">
      <c r="A36" s="17">
        <v>32</v>
      </c>
      <c r="B36" s="19" t="s">
        <v>45</v>
      </c>
      <c r="C36" s="19" t="s">
        <v>393</v>
      </c>
      <c r="D36" s="19" t="s">
        <v>406</v>
      </c>
      <c r="E36" s="19" t="s">
        <v>407</v>
      </c>
      <c r="F36" s="17" t="s">
        <v>16</v>
      </c>
      <c r="G36" s="20">
        <v>46248</v>
      </c>
      <c r="H36" s="20">
        <v>46257</v>
      </c>
      <c r="I36" s="17" t="s">
        <v>10</v>
      </c>
      <c r="J36" s="23">
        <v>0</v>
      </c>
      <c r="K36" s="19" t="s">
        <v>408</v>
      </c>
      <c r="L36" s="19"/>
    </row>
    <row r="37" ht="15.75" customHeight="1" spans="1:12" x14ac:dyDescent="0.25">
      <c r="A37" s="17">
        <v>33</v>
      </c>
      <c r="B37" s="19" t="s">
        <v>45</v>
      </c>
      <c r="C37" s="19" t="s">
        <v>393</v>
      </c>
      <c r="D37" s="19" t="s">
        <v>409</v>
      </c>
      <c r="E37" s="19" t="s">
        <v>410</v>
      </c>
      <c r="F37" s="17" t="s">
        <v>17</v>
      </c>
      <c r="G37" s="20">
        <v>46253</v>
      </c>
      <c r="H37" s="20">
        <v>46257</v>
      </c>
      <c r="I37" s="17" t="s">
        <v>10</v>
      </c>
      <c r="J37" s="23">
        <v>0</v>
      </c>
      <c r="K37" s="19" t="s">
        <v>411</v>
      </c>
      <c r="L37" s="19"/>
    </row>
    <row r="38" ht="15.75" customHeight="1" spans="1:12" x14ac:dyDescent="0.25">
      <c r="A38" s="17">
        <v>34</v>
      </c>
      <c r="B38" s="18" t="s">
        <v>47</v>
      </c>
      <c r="C38" s="19" t="s">
        <v>412</v>
      </c>
      <c r="D38" s="19" t="s">
        <v>413</v>
      </c>
      <c r="E38" s="19" t="s">
        <v>414</v>
      </c>
      <c r="F38" s="17" t="s">
        <v>16</v>
      </c>
      <c r="G38" s="20">
        <v>46245</v>
      </c>
      <c r="H38" s="20">
        <v>46252</v>
      </c>
      <c r="I38" s="17" t="s">
        <v>10</v>
      </c>
      <c r="J38" s="23">
        <v>0</v>
      </c>
      <c r="K38" s="19" t="s">
        <v>415</v>
      </c>
      <c r="L38" s="19"/>
    </row>
    <row r="39" ht="15.75" customHeight="1" spans="1:12" x14ac:dyDescent="0.25">
      <c r="A39" s="17">
        <v>35</v>
      </c>
      <c r="B39" s="19" t="s">
        <v>47</v>
      </c>
      <c r="C39" s="19" t="s">
        <v>412</v>
      </c>
      <c r="D39" s="19" t="s">
        <v>416</v>
      </c>
      <c r="E39" s="19" t="s">
        <v>417</v>
      </c>
      <c r="F39" s="17" t="s">
        <v>16</v>
      </c>
      <c r="G39" s="20">
        <v>46247</v>
      </c>
      <c r="H39" s="20">
        <v>46255</v>
      </c>
      <c r="I39" s="17" t="s">
        <v>10</v>
      </c>
      <c r="J39" s="23">
        <v>0</v>
      </c>
      <c r="K39" s="19" t="s">
        <v>418</v>
      </c>
      <c r="L39" s="19"/>
    </row>
    <row r="40" ht="15.75" customHeight="1" spans="1:12" x14ac:dyDescent="0.25">
      <c r="A40" s="17">
        <v>36</v>
      </c>
      <c r="B40" s="19" t="s">
        <v>47</v>
      </c>
      <c r="C40" s="19" t="s">
        <v>412</v>
      </c>
      <c r="D40" s="19" t="s">
        <v>419</v>
      </c>
      <c r="E40" s="19" t="s">
        <v>420</v>
      </c>
      <c r="F40" s="17" t="s">
        <v>16</v>
      </c>
      <c r="G40" s="20">
        <v>46248</v>
      </c>
      <c r="H40" s="20">
        <v>46256</v>
      </c>
      <c r="I40" s="17" t="s">
        <v>10</v>
      </c>
      <c r="J40" s="23">
        <v>0</v>
      </c>
      <c r="K40" s="19" t="s">
        <v>421</v>
      </c>
      <c r="L40" s="19"/>
    </row>
    <row r="41" ht="15.75" customHeight="1" spans="1:12" x14ac:dyDescent="0.25">
      <c r="A41" s="17">
        <v>37</v>
      </c>
      <c r="B41" s="19" t="s">
        <v>47</v>
      </c>
      <c r="C41" s="19" t="s">
        <v>412</v>
      </c>
      <c r="D41" s="19" t="s">
        <v>422</v>
      </c>
      <c r="E41" s="19" t="s">
        <v>423</v>
      </c>
      <c r="F41" s="17" t="s">
        <v>16</v>
      </c>
      <c r="G41" s="20">
        <v>46251</v>
      </c>
      <c r="H41" s="20">
        <v>46258</v>
      </c>
      <c r="I41" s="17" t="s">
        <v>10</v>
      </c>
      <c r="J41" s="23">
        <v>0</v>
      </c>
      <c r="K41" s="19" t="s">
        <v>424</v>
      </c>
      <c r="L41" s="19"/>
    </row>
    <row r="42" ht="15.75" customHeight="1" spans="1:12" x14ac:dyDescent="0.25">
      <c r="A42" s="17">
        <v>38</v>
      </c>
      <c r="B42" s="19" t="s">
        <v>47</v>
      </c>
      <c r="C42" s="19" t="s">
        <v>412</v>
      </c>
      <c r="D42" s="19" t="s">
        <v>199</v>
      </c>
      <c r="E42" s="19" t="s">
        <v>425</v>
      </c>
      <c r="F42" s="17" t="s">
        <v>17</v>
      </c>
      <c r="G42" s="20">
        <v>46245</v>
      </c>
      <c r="H42" s="20">
        <v>46252</v>
      </c>
      <c r="I42" s="17" t="s">
        <v>11</v>
      </c>
      <c r="J42" s="23">
        <v>0</v>
      </c>
      <c r="K42" s="19" t="s">
        <v>426</v>
      </c>
      <c r="L42" s="19" t="s">
        <v>202</v>
      </c>
    </row>
    <row r="43" ht="15.75" customHeight="1" spans="1:12" x14ac:dyDescent="0.25">
      <c r="A43" s="17">
        <v>39</v>
      </c>
      <c r="B43" s="19" t="s">
        <v>47</v>
      </c>
      <c r="C43" s="19" t="s">
        <v>412</v>
      </c>
      <c r="D43" s="19" t="s">
        <v>427</v>
      </c>
      <c r="E43" s="19" t="s">
        <v>428</v>
      </c>
      <c r="F43" s="17" t="s">
        <v>16</v>
      </c>
      <c r="G43" s="20">
        <v>46251</v>
      </c>
      <c r="H43" s="20">
        <v>46260</v>
      </c>
      <c r="I43" s="17" t="s">
        <v>10</v>
      </c>
      <c r="J43" s="23">
        <v>0</v>
      </c>
      <c r="K43" s="19" t="s">
        <v>429</v>
      </c>
      <c r="L43" s="19"/>
    </row>
    <row r="44" ht="15.75" customHeight="1" spans="1:12" x14ac:dyDescent="0.25">
      <c r="A44" s="17">
        <v>40</v>
      </c>
      <c r="B44" s="19" t="s">
        <v>47</v>
      </c>
      <c r="C44" s="19" t="s">
        <v>412</v>
      </c>
      <c r="D44" s="19" t="s">
        <v>430</v>
      </c>
      <c r="E44" s="19" t="s">
        <v>431</v>
      </c>
      <c r="F44" s="17" t="s">
        <v>16</v>
      </c>
      <c r="G44" s="20">
        <v>46252</v>
      </c>
      <c r="H44" s="20">
        <v>46262</v>
      </c>
      <c r="I44" s="17" t="s">
        <v>10</v>
      </c>
      <c r="J44" s="23">
        <v>0</v>
      </c>
      <c r="K44" s="19" t="s">
        <v>432</v>
      </c>
      <c r="L44" s="19"/>
    </row>
    <row r="45" ht="15.75" customHeight="1" spans="1:12" x14ac:dyDescent="0.25">
      <c r="A45" s="17">
        <v>41</v>
      </c>
      <c r="B45" s="19" t="s">
        <v>47</v>
      </c>
      <c r="C45" s="19" t="s">
        <v>412</v>
      </c>
      <c r="D45" s="19" t="s">
        <v>433</v>
      </c>
      <c r="E45" s="19" t="s">
        <v>434</v>
      </c>
      <c r="F45" s="17" t="s">
        <v>16</v>
      </c>
      <c r="G45" s="20">
        <v>46254</v>
      </c>
      <c r="H45" s="20">
        <v>46263</v>
      </c>
      <c r="I45" s="17" t="s">
        <v>10</v>
      </c>
      <c r="J45" s="23">
        <v>0</v>
      </c>
      <c r="K45" s="19" t="s">
        <v>435</v>
      </c>
      <c r="L45" s="19"/>
    </row>
    <row r="46" ht="15.75" customHeight="1" spans="1:12" x14ac:dyDescent="0.25">
      <c r="A46" s="17">
        <v>42</v>
      </c>
      <c r="B46" s="18" t="s">
        <v>49</v>
      </c>
      <c r="C46" s="19" t="s">
        <v>436</v>
      </c>
      <c r="D46" s="19" t="s">
        <v>437</v>
      </c>
      <c r="E46" s="19" t="s">
        <v>438</v>
      </c>
      <c r="F46" s="17" t="s">
        <v>16</v>
      </c>
      <c r="G46" s="20">
        <v>46245</v>
      </c>
      <c r="H46" s="20">
        <v>46255</v>
      </c>
      <c r="I46" s="17" t="s">
        <v>10</v>
      </c>
      <c r="J46" s="23">
        <v>0</v>
      </c>
      <c r="K46" s="19" t="s">
        <v>439</v>
      </c>
      <c r="L46" s="19"/>
    </row>
    <row r="47" ht="15.75" customHeight="1" spans="1:12" x14ac:dyDescent="0.25">
      <c r="A47" s="17">
        <v>43</v>
      </c>
      <c r="B47" s="19" t="s">
        <v>49</v>
      </c>
      <c r="C47" s="19" t="s">
        <v>436</v>
      </c>
      <c r="D47" s="19" t="s">
        <v>440</v>
      </c>
      <c r="E47" s="19" t="s">
        <v>441</v>
      </c>
      <c r="F47" s="17" t="s">
        <v>16</v>
      </c>
      <c r="G47" s="20">
        <v>46247</v>
      </c>
      <c r="H47" s="20">
        <v>46258</v>
      </c>
      <c r="I47" s="17" t="s">
        <v>10</v>
      </c>
      <c r="J47" s="23">
        <v>0</v>
      </c>
      <c r="K47" s="19" t="s">
        <v>442</v>
      </c>
      <c r="L47" s="19"/>
    </row>
    <row r="48" ht="15.75" customHeight="1" spans="1:12" x14ac:dyDescent="0.25">
      <c r="A48" s="17">
        <v>44</v>
      </c>
      <c r="B48" s="19" t="s">
        <v>49</v>
      </c>
      <c r="C48" s="19" t="s">
        <v>436</v>
      </c>
      <c r="D48" s="19" t="s">
        <v>443</v>
      </c>
      <c r="E48" s="19" t="s">
        <v>444</v>
      </c>
      <c r="F48" s="17" t="s">
        <v>16</v>
      </c>
      <c r="G48" s="20">
        <v>46251</v>
      </c>
      <c r="H48" s="20">
        <v>46260</v>
      </c>
      <c r="I48" s="17" t="s">
        <v>10</v>
      </c>
      <c r="J48" s="23">
        <v>0</v>
      </c>
      <c r="K48" s="19" t="s">
        <v>445</v>
      </c>
      <c r="L48" s="19"/>
    </row>
    <row r="49" ht="15.75" customHeight="1" spans="1:12" x14ac:dyDescent="0.25">
      <c r="A49" s="17">
        <v>45</v>
      </c>
      <c r="B49" s="19" t="s">
        <v>49</v>
      </c>
      <c r="C49" s="19" t="s">
        <v>436</v>
      </c>
      <c r="D49" s="19" t="s">
        <v>446</v>
      </c>
      <c r="E49" s="19" t="s">
        <v>447</v>
      </c>
      <c r="F49" s="17" t="s">
        <v>16</v>
      </c>
      <c r="G49" s="20">
        <v>46251</v>
      </c>
      <c r="H49" s="20">
        <v>46258</v>
      </c>
      <c r="I49" s="17" t="s">
        <v>10</v>
      </c>
      <c r="J49" s="23">
        <v>0</v>
      </c>
      <c r="K49" s="19" t="s">
        <v>448</v>
      </c>
      <c r="L49" s="19"/>
    </row>
    <row r="50" ht="15.75" customHeight="1" spans="1:12" x14ac:dyDescent="0.25">
      <c r="A50" s="17">
        <v>46</v>
      </c>
      <c r="B50" s="19" t="s">
        <v>49</v>
      </c>
      <c r="C50" s="19" t="s">
        <v>436</v>
      </c>
      <c r="D50" s="19" t="s">
        <v>449</v>
      </c>
      <c r="E50" s="19" t="s">
        <v>450</v>
      </c>
      <c r="F50" s="17" t="s">
        <v>16</v>
      </c>
      <c r="G50" s="20">
        <v>46253</v>
      </c>
      <c r="H50" s="20">
        <v>46262</v>
      </c>
      <c r="I50" s="17" t="s">
        <v>10</v>
      </c>
      <c r="J50" s="23">
        <v>0</v>
      </c>
      <c r="K50" s="19" t="s">
        <v>451</v>
      </c>
      <c r="L50" s="19"/>
    </row>
    <row r="51" ht="15.75" customHeight="1" spans="1:12" x14ac:dyDescent="0.25">
      <c r="A51" s="17">
        <v>47</v>
      </c>
      <c r="B51" s="19" t="s">
        <v>49</v>
      </c>
      <c r="C51" s="19" t="s">
        <v>452</v>
      </c>
      <c r="D51" s="19" t="s">
        <v>453</v>
      </c>
      <c r="E51" s="19" t="s">
        <v>454</v>
      </c>
      <c r="F51" s="17" t="s">
        <v>16</v>
      </c>
      <c r="G51" s="20">
        <v>46253</v>
      </c>
      <c r="H51" s="20">
        <v>46267</v>
      </c>
      <c r="I51" s="17" t="s">
        <v>10</v>
      </c>
      <c r="J51" s="23">
        <v>0</v>
      </c>
      <c r="K51" s="19" t="s">
        <v>455</v>
      </c>
      <c r="L51" s="19"/>
    </row>
    <row r="52" ht="15.75" customHeight="1" spans="1:12" x14ac:dyDescent="0.25">
      <c r="A52" s="17">
        <v>48</v>
      </c>
      <c r="B52" s="19" t="s">
        <v>49</v>
      </c>
      <c r="C52" s="19" t="s">
        <v>452</v>
      </c>
      <c r="D52" s="19" t="s">
        <v>456</v>
      </c>
      <c r="E52" s="19" t="s">
        <v>457</v>
      </c>
      <c r="F52" s="17" t="s">
        <v>16</v>
      </c>
      <c r="G52" s="20">
        <v>46258</v>
      </c>
      <c r="H52" s="20">
        <v>46269</v>
      </c>
      <c r="I52" s="17" t="s">
        <v>10</v>
      </c>
      <c r="J52" s="23">
        <v>0</v>
      </c>
      <c r="K52" s="19" t="s">
        <v>458</v>
      </c>
      <c r="L52" s="19"/>
    </row>
    <row r="53" ht="15.75" customHeight="1" spans="1:12" x14ac:dyDescent="0.25">
      <c r="A53" s="17">
        <v>49</v>
      </c>
      <c r="B53" s="19" t="s">
        <v>49</v>
      </c>
      <c r="C53" s="19" t="s">
        <v>452</v>
      </c>
      <c r="D53" s="19" t="s">
        <v>459</v>
      </c>
      <c r="E53" s="19" t="s">
        <v>460</v>
      </c>
      <c r="F53" s="17" t="s">
        <v>16</v>
      </c>
      <c r="G53" s="20">
        <v>46265</v>
      </c>
      <c r="H53" s="20">
        <v>46272</v>
      </c>
      <c r="I53" s="17" t="s">
        <v>10</v>
      </c>
      <c r="J53" s="23">
        <v>0</v>
      </c>
      <c r="K53" s="19" t="s">
        <v>461</v>
      </c>
      <c r="L53" s="19"/>
    </row>
    <row r="54" ht="15.75" customHeight="1" spans="1:12" x14ac:dyDescent="0.25">
      <c r="A54" s="17">
        <v>50</v>
      </c>
      <c r="B54" s="19" t="s">
        <v>49</v>
      </c>
      <c r="C54" s="19" t="s">
        <v>462</v>
      </c>
      <c r="D54" s="19" t="s">
        <v>463</v>
      </c>
      <c r="E54" s="19" t="s">
        <v>464</v>
      </c>
      <c r="F54" s="17" t="s">
        <v>16</v>
      </c>
      <c r="G54" s="20">
        <v>46258</v>
      </c>
      <c r="H54" s="20">
        <v>46269</v>
      </c>
      <c r="I54" s="17" t="s">
        <v>10</v>
      </c>
      <c r="J54" s="23">
        <v>0</v>
      </c>
      <c r="K54" s="19" t="s">
        <v>465</v>
      </c>
      <c r="L54" s="19"/>
    </row>
    <row r="55" ht="15.75" customHeight="1" spans="1:12" x14ac:dyDescent="0.25">
      <c r="A55" s="17">
        <v>51</v>
      </c>
      <c r="B55" s="19" t="s">
        <v>49</v>
      </c>
      <c r="C55" s="19" t="s">
        <v>462</v>
      </c>
      <c r="D55" s="19" t="s">
        <v>466</v>
      </c>
      <c r="E55" s="19" t="s">
        <v>467</v>
      </c>
      <c r="F55" s="17" t="s">
        <v>16</v>
      </c>
      <c r="G55" s="20">
        <v>46260</v>
      </c>
      <c r="H55" s="20">
        <v>46269</v>
      </c>
      <c r="I55" s="17" t="s">
        <v>10</v>
      </c>
      <c r="J55" s="23">
        <v>0</v>
      </c>
      <c r="K55" s="19" t="s">
        <v>468</v>
      </c>
      <c r="L55" s="19"/>
    </row>
    <row r="56" ht="15.75" customHeight="1" spans="1:12" x14ac:dyDescent="0.25">
      <c r="A56" s="17">
        <v>52</v>
      </c>
      <c r="B56" s="19" t="s">
        <v>49</v>
      </c>
      <c r="C56" s="19" t="s">
        <v>462</v>
      </c>
      <c r="D56" s="19" t="s">
        <v>469</v>
      </c>
      <c r="E56" s="19" t="s">
        <v>470</v>
      </c>
      <c r="F56" s="17" t="s">
        <v>16</v>
      </c>
      <c r="G56" s="20">
        <v>46265</v>
      </c>
      <c r="H56" s="20">
        <v>46272</v>
      </c>
      <c r="I56" s="17" t="s">
        <v>10</v>
      </c>
      <c r="J56" s="23">
        <v>0</v>
      </c>
      <c r="K56" s="19" t="s">
        <v>471</v>
      </c>
      <c r="L56" s="19"/>
    </row>
    <row r="57" ht="15.75" customHeight="1" spans="1:12" x14ac:dyDescent="0.25">
      <c r="A57" s="17">
        <v>53</v>
      </c>
      <c r="B57" s="19" t="s">
        <v>49</v>
      </c>
      <c r="C57" s="19" t="s">
        <v>462</v>
      </c>
      <c r="D57" s="19" t="s">
        <v>472</v>
      </c>
      <c r="E57" s="19" t="s">
        <v>473</v>
      </c>
      <c r="F57" s="17" t="s">
        <v>16</v>
      </c>
      <c r="G57" s="20">
        <v>46245</v>
      </c>
      <c r="H57" s="20">
        <v>46265</v>
      </c>
      <c r="I57" s="17" t="s">
        <v>11</v>
      </c>
      <c r="J57" s="23">
        <v>0</v>
      </c>
      <c r="K57" s="19" t="s">
        <v>474</v>
      </c>
      <c r="L57" s="19" t="s">
        <v>475</v>
      </c>
    </row>
    <row r="58" ht="15.75" customHeight="1" spans="1:12" x14ac:dyDescent="0.25">
      <c r="A58" s="17">
        <v>54</v>
      </c>
      <c r="B58" s="19" t="s">
        <v>49</v>
      </c>
      <c r="C58" s="19" t="s">
        <v>462</v>
      </c>
      <c r="D58" s="19" t="s">
        <v>476</v>
      </c>
      <c r="E58" s="19" t="s">
        <v>477</v>
      </c>
      <c r="F58" s="17" t="s">
        <v>17</v>
      </c>
      <c r="G58" s="20">
        <v>46245</v>
      </c>
      <c r="H58" s="20">
        <v>46265</v>
      </c>
      <c r="I58" s="17" t="s">
        <v>11</v>
      </c>
      <c r="J58" s="23">
        <v>0</v>
      </c>
      <c r="K58" s="19" t="s">
        <v>478</v>
      </c>
      <c r="L58" s="19" t="s">
        <v>479</v>
      </c>
    </row>
    <row r="59" ht="15.75" customHeight="1" spans="1:12" x14ac:dyDescent="0.25">
      <c r="A59" s="17">
        <v>55</v>
      </c>
      <c r="B59" s="19" t="s">
        <v>49</v>
      </c>
      <c r="C59" s="19" t="s">
        <v>462</v>
      </c>
      <c r="D59" s="19" t="s">
        <v>480</v>
      </c>
      <c r="E59" s="19" t="s">
        <v>481</v>
      </c>
      <c r="F59" s="17" t="s">
        <v>16</v>
      </c>
      <c r="G59" s="20">
        <v>46258</v>
      </c>
      <c r="H59" s="20">
        <v>46275</v>
      </c>
      <c r="I59" s="17" t="s">
        <v>11</v>
      </c>
      <c r="J59" s="23">
        <v>0</v>
      </c>
      <c r="K59" s="19" t="s">
        <v>482</v>
      </c>
      <c r="L59" s="19" t="s">
        <v>483</v>
      </c>
    </row>
    <row r="60" ht="15.75" customHeight="1" spans="1:12" x14ac:dyDescent="0.25">
      <c r="A60" s="17">
        <v>56</v>
      </c>
      <c r="B60" s="19" t="s">
        <v>49</v>
      </c>
      <c r="C60" s="19" t="s">
        <v>462</v>
      </c>
      <c r="D60" s="19" t="s">
        <v>484</v>
      </c>
      <c r="E60" s="19" t="s">
        <v>485</v>
      </c>
      <c r="F60" s="17" t="s">
        <v>16</v>
      </c>
      <c r="G60" s="20">
        <v>46267</v>
      </c>
      <c r="H60" s="20">
        <v>46277</v>
      </c>
      <c r="I60" s="17" t="s">
        <v>11</v>
      </c>
      <c r="J60" s="23">
        <v>0</v>
      </c>
      <c r="K60" s="19" t="s">
        <v>486</v>
      </c>
      <c r="L60" s="19" t="s">
        <v>487</v>
      </c>
    </row>
    <row r="61" ht="15.75" customHeight="1" spans="1:12" x14ac:dyDescent="0.25">
      <c r="A61" s="17">
        <v>57</v>
      </c>
      <c r="B61" s="18" t="s">
        <v>51</v>
      </c>
      <c r="C61" s="19" t="s">
        <v>488</v>
      </c>
      <c r="D61" s="19" t="s">
        <v>489</v>
      </c>
      <c r="E61" s="19" t="s">
        <v>490</v>
      </c>
      <c r="F61" s="17" t="s">
        <v>16</v>
      </c>
      <c r="G61" s="20">
        <v>46260</v>
      </c>
      <c r="H61" s="20">
        <v>46270</v>
      </c>
      <c r="I61" s="17" t="s">
        <v>10</v>
      </c>
      <c r="J61" s="23">
        <v>0</v>
      </c>
      <c r="K61" s="19" t="s">
        <v>491</v>
      </c>
      <c r="L61" s="19"/>
    </row>
    <row r="62" ht="15.75" customHeight="1" spans="1:12" x14ac:dyDescent="0.25">
      <c r="A62" s="17">
        <v>58</v>
      </c>
      <c r="B62" s="19" t="s">
        <v>51</v>
      </c>
      <c r="C62" s="19" t="s">
        <v>488</v>
      </c>
      <c r="D62" s="19" t="s">
        <v>492</v>
      </c>
      <c r="E62" s="19" t="s">
        <v>493</v>
      </c>
      <c r="F62" s="17" t="s">
        <v>16</v>
      </c>
      <c r="G62" s="20">
        <v>46262</v>
      </c>
      <c r="H62" s="20">
        <v>46272</v>
      </c>
      <c r="I62" s="17" t="s">
        <v>10</v>
      </c>
      <c r="J62" s="23">
        <v>0</v>
      </c>
      <c r="K62" s="19" t="s">
        <v>494</v>
      </c>
      <c r="L62" s="19"/>
    </row>
    <row r="63" ht="15.75" customHeight="1" spans="1:12" x14ac:dyDescent="0.25">
      <c r="A63" s="17">
        <v>59</v>
      </c>
      <c r="B63" s="19" t="s">
        <v>51</v>
      </c>
      <c r="C63" s="19" t="s">
        <v>488</v>
      </c>
      <c r="D63" s="19" t="s">
        <v>495</v>
      </c>
      <c r="E63" s="19" t="s">
        <v>496</v>
      </c>
      <c r="F63" s="17" t="s">
        <v>17</v>
      </c>
      <c r="G63" s="20">
        <v>46260</v>
      </c>
      <c r="H63" s="20">
        <v>46267</v>
      </c>
      <c r="I63" s="17" t="s">
        <v>10</v>
      </c>
      <c r="J63" s="23">
        <v>0</v>
      </c>
      <c r="K63" s="19" t="s">
        <v>497</v>
      </c>
      <c r="L63" s="19"/>
    </row>
    <row r="64" ht="15.75" customHeight="1" spans="1:12" x14ac:dyDescent="0.25">
      <c r="A64" s="17">
        <v>60</v>
      </c>
      <c r="B64" s="19" t="s">
        <v>51</v>
      </c>
      <c r="C64" s="19" t="s">
        <v>488</v>
      </c>
      <c r="D64" s="19" t="s">
        <v>498</v>
      </c>
      <c r="E64" s="19" t="s">
        <v>499</v>
      </c>
      <c r="F64" s="17" t="s">
        <v>16</v>
      </c>
      <c r="G64" s="20">
        <v>46265</v>
      </c>
      <c r="H64" s="20">
        <v>46273</v>
      </c>
      <c r="I64" s="17" t="s">
        <v>10</v>
      </c>
      <c r="J64" s="23">
        <v>0</v>
      </c>
      <c r="K64" s="19" t="s">
        <v>500</v>
      </c>
      <c r="L64" s="19"/>
    </row>
    <row r="65" ht="15.75" customHeight="1" spans="1:12" x14ac:dyDescent="0.25">
      <c r="A65" s="17">
        <v>61</v>
      </c>
      <c r="B65" s="19" t="s">
        <v>51</v>
      </c>
      <c r="C65" s="19" t="s">
        <v>488</v>
      </c>
      <c r="D65" s="19" t="s">
        <v>501</v>
      </c>
      <c r="E65" s="19" t="s">
        <v>502</v>
      </c>
      <c r="F65" s="17" t="s">
        <v>16</v>
      </c>
      <c r="G65" s="20">
        <v>46267</v>
      </c>
      <c r="H65" s="20">
        <v>46274</v>
      </c>
      <c r="I65" s="17" t="s">
        <v>10</v>
      </c>
      <c r="J65" s="23">
        <v>0</v>
      </c>
      <c r="K65" s="19" t="s">
        <v>503</v>
      </c>
      <c r="L65" s="19"/>
    </row>
    <row r="66" ht="15.75" customHeight="1" spans="1:12" x14ac:dyDescent="0.25">
      <c r="A66" s="17">
        <v>62</v>
      </c>
      <c r="B66" s="19" t="s">
        <v>51</v>
      </c>
      <c r="C66" s="19" t="s">
        <v>488</v>
      </c>
      <c r="D66" s="19" t="s">
        <v>504</v>
      </c>
      <c r="E66" s="19" t="s">
        <v>505</v>
      </c>
      <c r="F66" s="17" t="s">
        <v>16</v>
      </c>
      <c r="G66" s="20">
        <v>46267</v>
      </c>
      <c r="H66" s="20">
        <v>46274</v>
      </c>
      <c r="I66" s="17" t="s">
        <v>10</v>
      </c>
      <c r="J66" s="23">
        <v>0</v>
      </c>
      <c r="K66" s="19" t="s">
        <v>506</v>
      </c>
      <c r="L66" s="19"/>
    </row>
    <row r="67" ht="15.75" customHeight="1" spans="1:12" x14ac:dyDescent="0.25">
      <c r="A67" s="17">
        <v>63</v>
      </c>
      <c r="B67" s="19" t="s">
        <v>51</v>
      </c>
      <c r="C67" s="19" t="s">
        <v>488</v>
      </c>
      <c r="D67" s="19" t="s">
        <v>507</v>
      </c>
      <c r="E67" s="19" t="s">
        <v>508</v>
      </c>
      <c r="F67" s="17" t="s">
        <v>16</v>
      </c>
      <c r="G67" s="20">
        <v>46267</v>
      </c>
      <c r="H67" s="20">
        <v>46275</v>
      </c>
      <c r="I67" s="17" t="s">
        <v>10</v>
      </c>
      <c r="J67" s="23">
        <v>0</v>
      </c>
      <c r="K67" s="19" t="s">
        <v>509</v>
      </c>
      <c r="L67" s="19"/>
    </row>
    <row r="68" ht="15.75" customHeight="1" spans="1:12" x14ac:dyDescent="0.25">
      <c r="A68" s="17">
        <v>64</v>
      </c>
      <c r="B68" s="19" t="s">
        <v>51</v>
      </c>
      <c r="C68" s="19" t="s">
        <v>488</v>
      </c>
      <c r="D68" s="19" t="s">
        <v>510</v>
      </c>
      <c r="E68" s="19" t="s">
        <v>511</v>
      </c>
      <c r="F68" s="17" t="s">
        <v>16</v>
      </c>
      <c r="G68" s="20">
        <v>46269</v>
      </c>
      <c r="H68" s="20">
        <v>46275</v>
      </c>
      <c r="I68" s="17" t="s">
        <v>10</v>
      </c>
      <c r="J68" s="23">
        <v>0</v>
      </c>
      <c r="K68" s="19" t="s">
        <v>292</v>
      </c>
      <c r="L68" s="19"/>
    </row>
    <row r="69" ht="15.75" customHeight="1" spans="1:12" x14ac:dyDescent="0.25">
      <c r="A69" s="17">
        <v>65</v>
      </c>
      <c r="B69" s="18" t="s">
        <v>53</v>
      </c>
      <c r="C69" s="19" t="s">
        <v>512</v>
      </c>
      <c r="D69" s="19" t="s">
        <v>513</v>
      </c>
      <c r="E69" s="19" t="s">
        <v>514</v>
      </c>
      <c r="F69" s="17" t="s">
        <v>16</v>
      </c>
      <c r="G69" s="20">
        <v>46273</v>
      </c>
      <c r="H69" s="20">
        <v>46280</v>
      </c>
      <c r="I69" s="17" t="s">
        <v>10</v>
      </c>
      <c r="J69" s="23">
        <v>0</v>
      </c>
      <c r="K69" s="19" t="s">
        <v>515</v>
      </c>
      <c r="L69" s="19"/>
    </row>
    <row r="70" ht="15.75" customHeight="1" spans="1:12" x14ac:dyDescent="0.25">
      <c r="A70" s="17">
        <v>66</v>
      </c>
      <c r="B70" s="19" t="s">
        <v>53</v>
      </c>
      <c r="C70" s="19" t="s">
        <v>512</v>
      </c>
      <c r="D70" s="19" t="s">
        <v>516</v>
      </c>
      <c r="E70" s="19" t="s">
        <v>517</v>
      </c>
      <c r="F70" s="17" t="s">
        <v>16</v>
      </c>
      <c r="G70" s="20">
        <v>46275</v>
      </c>
      <c r="H70" s="20">
        <v>46282</v>
      </c>
      <c r="I70" s="17" t="s">
        <v>10</v>
      </c>
      <c r="J70" s="23">
        <v>0</v>
      </c>
      <c r="K70" s="19" t="s">
        <v>518</v>
      </c>
      <c r="L70" s="19"/>
    </row>
    <row r="71" ht="15.75" customHeight="1" spans="1:12" x14ac:dyDescent="0.25">
      <c r="A71" s="17">
        <v>67</v>
      </c>
      <c r="B71" s="19" t="s">
        <v>53</v>
      </c>
      <c r="C71" s="19" t="s">
        <v>512</v>
      </c>
      <c r="D71" s="19" t="s">
        <v>519</v>
      </c>
      <c r="E71" s="19" t="s">
        <v>520</v>
      </c>
      <c r="F71" s="17" t="s">
        <v>17</v>
      </c>
      <c r="G71" s="20">
        <v>46277</v>
      </c>
      <c r="H71" s="20">
        <v>46284</v>
      </c>
      <c r="I71" s="17" t="s">
        <v>10</v>
      </c>
      <c r="J71" s="23">
        <v>0</v>
      </c>
      <c r="K71" s="19" t="s">
        <v>521</v>
      </c>
      <c r="L71" s="19"/>
    </row>
    <row r="72" ht="15.75" customHeight="1" spans="1:12" x14ac:dyDescent="0.25">
      <c r="A72" s="17">
        <v>68</v>
      </c>
      <c r="B72" s="19" t="s">
        <v>53</v>
      </c>
      <c r="C72" s="19" t="s">
        <v>512</v>
      </c>
      <c r="D72" s="19" t="s">
        <v>243</v>
      </c>
      <c r="E72" s="19" t="s">
        <v>244</v>
      </c>
      <c r="F72" s="17" t="s">
        <v>17</v>
      </c>
      <c r="G72" s="20">
        <v>46273</v>
      </c>
      <c r="H72" s="20">
        <v>46285</v>
      </c>
      <c r="I72" s="17" t="s">
        <v>10</v>
      </c>
      <c r="J72" s="23">
        <v>0</v>
      </c>
      <c r="K72" s="19" t="s">
        <v>522</v>
      </c>
      <c r="L72" s="19"/>
    </row>
    <row r="73" ht="15.75" customHeight="1" spans="1:12" x14ac:dyDescent="0.25">
      <c r="A73" s="17">
        <v>69</v>
      </c>
      <c r="B73" s="19" t="s">
        <v>53</v>
      </c>
      <c r="C73" s="19" t="s">
        <v>512</v>
      </c>
      <c r="D73" s="19" t="s">
        <v>246</v>
      </c>
      <c r="E73" s="19" t="s">
        <v>523</v>
      </c>
      <c r="F73" s="17" t="s">
        <v>17</v>
      </c>
      <c r="G73" s="20">
        <v>46273</v>
      </c>
      <c r="H73" s="20">
        <v>46285</v>
      </c>
      <c r="I73" s="17" t="s">
        <v>10</v>
      </c>
      <c r="J73" s="23">
        <v>0</v>
      </c>
      <c r="K73" s="19" t="s">
        <v>524</v>
      </c>
      <c r="L73" s="19"/>
    </row>
    <row r="74" ht="15.75" customHeight="1" spans="1:12" x14ac:dyDescent="0.25">
      <c r="A74" s="17">
        <v>70</v>
      </c>
      <c r="B74" s="19" t="s">
        <v>53</v>
      </c>
      <c r="C74" s="19" t="s">
        <v>512</v>
      </c>
      <c r="D74" s="19" t="s">
        <v>525</v>
      </c>
      <c r="E74" s="19" t="s">
        <v>526</v>
      </c>
      <c r="F74" s="17" t="s">
        <v>16</v>
      </c>
      <c r="G74" s="20">
        <v>46279</v>
      </c>
      <c r="H74" s="20">
        <v>46288</v>
      </c>
      <c r="I74" s="17" t="s">
        <v>10</v>
      </c>
      <c r="J74" s="23">
        <v>0</v>
      </c>
      <c r="K74" s="19" t="s">
        <v>527</v>
      </c>
      <c r="L74" s="19"/>
    </row>
    <row r="75" ht="15.75" customHeight="1" spans="1:12" x14ac:dyDescent="0.25">
      <c r="A75" s="17">
        <v>71</v>
      </c>
      <c r="B75" s="18" t="s">
        <v>55</v>
      </c>
      <c r="C75" s="19" t="s">
        <v>528</v>
      </c>
      <c r="D75" s="19" t="s">
        <v>529</v>
      </c>
      <c r="E75" s="19" t="s">
        <v>530</v>
      </c>
      <c r="F75" s="17" t="s">
        <v>17</v>
      </c>
      <c r="G75" s="20">
        <v>46289</v>
      </c>
      <c r="H75" s="20">
        <v>46297</v>
      </c>
      <c r="I75" s="17" t="s">
        <v>10</v>
      </c>
      <c r="J75" s="23">
        <v>0</v>
      </c>
      <c r="K75" s="19" t="s">
        <v>531</v>
      </c>
      <c r="L75" s="19"/>
    </row>
    <row r="76" ht="15.75" customHeight="1" spans="1:12" x14ac:dyDescent="0.25">
      <c r="A76" s="17">
        <v>72</v>
      </c>
      <c r="B76" s="19" t="s">
        <v>55</v>
      </c>
      <c r="C76" s="19" t="s">
        <v>528</v>
      </c>
      <c r="D76" s="19" t="s">
        <v>532</v>
      </c>
      <c r="E76" s="19" t="s">
        <v>533</v>
      </c>
      <c r="F76" s="17" t="s">
        <v>16</v>
      </c>
      <c r="G76" s="20">
        <v>46293</v>
      </c>
      <c r="H76" s="20">
        <v>46303</v>
      </c>
      <c r="I76" s="17" t="s">
        <v>10</v>
      </c>
      <c r="J76" s="23">
        <v>0</v>
      </c>
      <c r="K76" s="19" t="s">
        <v>534</v>
      </c>
      <c r="L76" s="19"/>
    </row>
    <row r="77" ht="15.75" customHeight="1" spans="1:12" x14ac:dyDescent="0.25">
      <c r="A77" s="17">
        <v>73</v>
      </c>
      <c r="B77" s="19" t="s">
        <v>55</v>
      </c>
      <c r="C77" s="19" t="s">
        <v>528</v>
      </c>
      <c r="D77" s="19" t="s">
        <v>535</v>
      </c>
      <c r="E77" s="19" t="s">
        <v>536</v>
      </c>
      <c r="F77" s="17" t="s">
        <v>16</v>
      </c>
      <c r="G77" s="20">
        <v>46293</v>
      </c>
      <c r="H77" s="20">
        <v>46301</v>
      </c>
      <c r="I77" s="17" t="s">
        <v>10</v>
      </c>
      <c r="J77" s="23">
        <v>0</v>
      </c>
      <c r="K77" s="19" t="s">
        <v>537</v>
      </c>
      <c r="L77" s="19"/>
    </row>
    <row r="78" ht="15.75" customHeight="1" spans="1:12" x14ac:dyDescent="0.25">
      <c r="A78" s="17">
        <v>74</v>
      </c>
      <c r="B78" s="19" t="s">
        <v>55</v>
      </c>
      <c r="C78" s="19" t="s">
        <v>528</v>
      </c>
      <c r="D78" s="19" t="s">
        <v>538</v>
      </c>
      <c r="E78" s="19" t="s">
        <v>539</v>
      </c>
      <c r="F78" s="17" t="s">
        <v>16</v>
      </c>
      <c r="G78" s="20">
        <v>46289</v>
      </c>
      <c r="H78" s="20">
        <v>46300</v>
      </c>
      <c r="I78" s="17" t="s">
        <v>10</v>
      </c>
      <c r="J78" s="23">
        <v>0</v>
      </c>
      <c r="K78" s="19" t="s">
        <v>283</v>
      </c>
      <c r="L78" s="19"/>
    </row>
    <row r="79" ht="15.75" customHeight="1" spans="1:12" x14ac:dyDescent="0.25">
      <c r="A79" s="17">
        <v>75</v>
      </c>
      <c r="B79" s="19" t="s">
        <v>55</v>
      </c>
      <c r="C79" s="19" t="s">
        <v>528</v>
      </c>
      <c r="D79" s="19" t="s">
        <v>540</v>
      </c>
      <c r="E79" s="19" t="s">
        <v>541</v>
      </c>
      <c r="F79" s="17" t="s">
        <v>16</v>
      </c>
      <c r="G79" s="20">
        <v>46289</v>
      </c>
      <c r="H79" s="20">
        <v>46305</v>
      </c>
      <c r="I79" s="17" t="s">
        <v>10</v>
      </c>
      <c r="J79" s="23">
        <v>0</v>
      </c>
      <c r="K79" s="19" t="s">
        <v>542</v>
      </c>
      <c r="L79" s="19"/>
    </row>
    <row r="80" ht="15.75" customHeight="1" spans="1:12" x14ac:dyDescent="0.25">
      <c r="A80" s="17">
        <v>76</v>
      </c>
      <c r="B80" s="18" t="s">
        <v>57</v>
      </c>
      <c r="C80" s="19" t="s">
        <v>543</v>
      </c>
      <c r="D80" s="19" t="s">
        <v>262</v>
      </c>
      <c r="E80" s="19" t="s">
        <v>544</v>
      </c>
      <c r="F80" s="17" t="s">
        <v>16</v>
      </c>
      <c r="G80" s="20">
        <v>46305</v>
      </c>
      <c r="H80" s="20">
        <v>46308</v>
      </c>
      <c r="I80" s="17" t="s">
        <v>10</v>
      </c>
      <c r="J80" s="23">
        <v>0</v>
      </c>
      <c r="K80" s="19" t="s">
        <v>545</v>
      </c>
      <c r="L80" s="19"/>
    </row>
    <row r="81" ht="15.75" customHeight="1" spans="1:12" x14ac:dyDescent="0.25">
      <c r="A81" s="17">
        <v>77</v>
      </c>
      <c r="B81" s="19" t="s">
        <v>57</v>
      </c>
      <c r="C81" s="19" t="s">
        <v>543</v>
      </c>
      <c r="D81" s="19" t="s">
        <v>546</v>
      </c>
      <c r="E81" s="19" t="s">
        <v>547</v>
      </c>
      <c r="F81" s="17" t="s">
        <v>16</v>
      </c>
      <c r="G81" s="20">
        <v>46305</v>
      </c>
      <c r="H81" s="20">
        <v>46308</v>
      </c>
      <c r="I81" s="17" t="s">
        <v>10</v>
      </c>
      <c r="J81" s="23">
        <v>0</v>
      </c>
      <c r="K81" s="19" t="s">
        <v>548</v>
      </c>
      <c r="L81" s="19"/>
    </row>
    <row r="82" ht="15.75" customHeight="1" spans="1:12" x14ac:dyDescent="0.25">
      <c r="A82" s="17">
        <v>78</v>
      </c>
      <c r="B82" s="19" t="s">
        <v>57</v>
      </c>
      <c r="C82" s="19" t="s">
        <v>543</v>
      </c>
      <c r="D82" s="19" t="s">
        <v>549</v>
      </c>
      <c r="E82" s="19" t="s">
        <v>550</v>
      </c>
      <c r="F82" s="17" t="s">
        <v>16</v>
      </c>
      <c r="G82" s="20">
        <v>46305</v>
      </c>
      <c r="H82" s="20">
        <v>46308</v>
      </c>
      <c r="I82" s="17" t="s">
        <v>10</v>
      </c>
      <c r="J82" s="23">
        <v>0</v>
      </c>
      <c r="K82" s="19" t="s">
        <v>551</v>
      </c>
      <c r="L82" s="19"/>
    </row>
    <row r="83" ht="15.75" customHeight="1" spans="1:12" x14ac:dyDescent="0.25">
      <c r="A83" s="17">
        <v>79</v>
      </c>
      <c r="B83" s="19" t="s">
        <v>57</v>
      </c>
      <c r="C83" s="19" t="s">
        <v>543</v>
      </c>
      <c r="D83" s="19" t="s">
        <v>552</v>
      </c>
      <c r="E83" s="19" t="s">
        <v>553</v>
      </c>
      <c r="F83" s="17" t="s">
        <v>17</v>
      </c>
      <c r="G83" s="20">
        <v>46307</v>
      </c>
      <c r="H83" s="20">
        <v>46309</v>
      </c>
      <c r="I83" s="17" t="s">
        <v>10</v>
      </c>
      <c r="J83" s="23">
        <v>0</v>
      </c>
      <c r="K83" s="19" t="s">
        <v>554</v>
      </c>
      <c r="L83" s="19"/>
    </row>
    <row r="84" ht="15.75" customHeight="1" spans="1:12" x14ac:dyDescent="0.25">
      <c r="A84" s="17">
        <v>80</v>
      </c>
      <c r="B84" s="19" t="s">
        <v>57</v>
      </c>
      <c r="C84" s="19" t="s">
        <v>543</v>
      </c>
      <c r="D84" s="19" t="s">
        <v>274</v>
      </c>
      <c r="E84" s="19" t="s">
        <v>555</v>
      </c>
      <c r="F84" s="17" t="s">
        <v>17</v>
      </c>
      <c r="G84" s="20">
        <v>46305</v>
      </c>
      <c r="H84" s="20">
        <v>46308</v>
      </c>
      <c r="I84" s="17" t="s">
        <v>10</v>
      </c>
      <c r="J84" s="23">
        <v>0</v>
      </c>
      <c r="K84" s="19" t="s">
        <v>556</v>
      </c>
      <c r="L84" s="19"/>
    </row>
    <row r="85" ht="15.75" customHeight="1" spans="1:12" x14ac:dyDescent="0.25">
      <c r="A85" s="17">
        <v>81</v>
      </c>
      <c r="B85" s="19" t="s">
        <v>57</v>
      </c>
      <c r="C85" s="19" t="s">
        <v>543</v>
      </c>
      <c r="D85" s="19" t="s">
        <v>277</v>
      </c>
      <c r="E85" s="19" t="s">
        <v>557</v>
      </c>
      <c r="F85" s="17" t="s">
        <v>16</v>
      </c>
      <c r="G85" s="20">
        <v>46308</v>
      </c>
      <c r="H85" s="20">
        <v>46310</v>
      </c>
      <c r="I85" s="17" t="s">
        <v>10</v>
      </c>
      <c r="J85" s="23">
        <v>0</v>
      </c>
      <c r="K85" s="19" t="s">
        <v>558</v>
      </c>
      <c r="L85" s="19"/>
    </row>
    <row r="86" ht="15.75" customHeight="1" spans="1:12" x14ac:dyDescent="0.25">
      <c r="A86" s="17">
        <v>82</v>
      </c>
      <c r="B86" s="19" t="s">
        <v>57</v>
      </c>
      <c r="C86" s="19" t="s">
        <v>543</v>
      </c>
      <c r="D86" s="19" t="s">
        <v>559</v>
      </c>
      <c r="E86" s="19" t="s">
        <v>560</v>
      </c>
      <c r="F86" s="17" t="s">
        <v>17</v>
      </c>
      <c r="G86" s="20">
        <v>46309</v>
      </c>
      <c r="H86" s="20">
        <v>46310</v>
      </c>
      <c r="I86" s="17" t="s">
        <v>10</v>
      </c>
      <c r="J86" s="23">
        <v>0</v>
      </c>
      <c r="K86" s="19" t="s">
        <v>561</v>
      </c>
      <c r="L86" s="19"/>
    </row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4:L86"/>
  <conditionalFormatting sqref="H5:H86">
    <cfRule type="cellIs" dxfId="5" priority="5" operator="lessThan">
      <formula>IF($I5="Дууссан",0,TODAY())</formula>
    </cfRule>
  </conditionalFormatting>
  <conditionalFormatting sqref="I5:I86">
    <cfRule type="cellIs" dxfId="6" priority="1" operator="equal">
      <formula>"Дууссан"</formula>
    </cfRule>
    <cfRule type="cellIs" dxfId="7" priority="2" operator="equal">
      <formula>"Хийгдэж байна"</formula>
    </cfRule>
    <cfRule type="cellIs" dxfId="8" priority="3" operator="equal">
      <formula>"Тестэд"</formula>
    </cfRule>
    <cfRule type="cellIs" dxfId="9" priority="4" operator="equal">
      <formula>"Саатсан"</formula>
    </cfRule>
  </conditionalFormatting>
  <dataValidations count="6">
    <dataValidation type="list" allowBlank="1" sqref="F10:F86">
      <formula1>"ITsystem,ЗСҮТ"</formula1>
    </dataValidation>
    <dataValidation type="list" allowBlank="1" sqref="F5:F86">
      <formula1>"ITsystem,ЗСҮТ"</formula1>
    </dataValidation>
    <dataValidation type="list" allowBlank="1" sqref="I10:I86">
      <formula1>"Эхлээгүй,Хийгдэж байна,Тестэд,Дууссан,Саатсан,Хамаарахгүй"</formula1>
    </dataValidation>
    <dataValidation type="list" allowBlank="1" sqref="I5:I86">
      <formula1>"Эхлээгүй,Хийгдэж байна,Тестэд,Дууссан,Саатсан,Хамаарахгүй"</formula1>
    </dataValidation>
    <dataValidation type="decimal" allowBlank="1" sqref="J10:J86">
      <formula1>0</formula1>
      <formula2>1</formula2>
    </dataValidation>
    <dataValidation type="decimal" allowBlank="1" sqref="J5:J86">
      <formula1>0</formula1>
      <formula2>1</formula2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Хяналтын самбар</vt:lpstr>
      <vt:lpstr>Веб систем</vt:lpstr>
      <vt:lpstr>Мобайл апп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2026-09-09T04:37:28Z</dcterms:created>
  <dcterms:modified xsi:type="dcterms:W3CDTF">2026-09-10T01:22:42Z</dcterms:modified>
</cp:coreProperties>
</file>